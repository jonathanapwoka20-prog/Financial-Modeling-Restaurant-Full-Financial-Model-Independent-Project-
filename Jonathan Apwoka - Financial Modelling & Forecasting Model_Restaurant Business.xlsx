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\Downloads\"/>
    </mc:Choice>
  </mc:AlternateContent>
  <xr:revisionPtr revIDLastSave="0" documentId="13_ncr:1_{28E1E88B-C3BE-48AE-A04C-0A66B3631C35}" xr6:coauthVersionLast="47" xr6:coauthVersionMax="47" xr10:uidLastSave="{00000000-0000-0000-0000-000000000000}"/>
  <bookViews>
    <workbookView xWindow="-108" yWindow="-108" windowWidth="23256" windowHeight="12456" activeTab="1" xr2:uid="{CD28B532-3DBA-4D4E-8827-CC4494E685A7}"/>
  </bookViews>
  <sheets>
    <sheet name="Assumptions" sheetId="14" r:id="rId1"/>
    <sheet name="Monthly Revenue" sheetId="2" r:id="rId2"/>
    <sheet name="Monthly P&amp;L" sheetId="15" r:id="rId3"/>
    <sheet name="Capital Structure" sheetId="7" r:id="rId4"/>
    <sheet name="Fixed Assets Schedule" sheetId="8" r:id="rId5"/>
    <sheet name="Working Capital" sheetId="9" r:id="rId6"/>
    <sheet name="Annual P&amp;L" sheetId="10" r:id="rId7"/>
    <sheet name="Balance Sheet" sheetId="11" r:id="rId8"/>
    <sheet name="Cash Flow Statement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1" l="1"/>
  <c r="G15" i="11"/>
  <c r="E15" i="11"/>
  <c r="B15" i="11"/>
  <c r="B16" i="11"/>
  <c r="B17" i="11"/>
  <c r="B18" i="11"/>
  <c r="F26" i="12"/>
  <c r="G26" i="12"/>
  <c r="F20" i="12"/>
  <c r="G20" i="12"/>
  <c r="F41" i="10"/>
  <c r="G41" i="10" s="1"/>
  <c r="H41" i="10" s="1"/>
  <c r="A31" i="10"/>
  <c r="A30" i="10"/>
  <c r="A29" i="10"/>
  <c r="A28" i="10"/>
  <c r="A27" i="10"/>
  <c r="A26" i="10"/>
  <c r="A25" i="10"/>
  <c r="A24" i="10"/>
  <c r="A23" i="10"/>
  <c r="A17" i="10"/>
  <c r="A16" i="10"/>
  <c r="A15" i="10"/>
  <c r="A12" i="10"/>
  <c r="A11" i="10"/>
  <c r="A10" i="10"/>
  <c r="A9" i="10"/>
  <c r="A15" i="9"/>
  <c r="B14" i="11" s="1"/>
  <c r="A9" i="9"/>
  <c r="B34" i="11" s="1"/>
  <c r="A10" i="9"/>
  <c r="B35" i="11" s="1"/>
  <c r="A8" i="9"/>
  <c r="B33" i="11" s="1"/>
  <c r="D6" i="8"/>
  <c r="C22" i="7" l="1"/>
  <c r="C21" i="7"/>
  <c r="D16" i="7"/>
  <c r="D15" i="7"/>
  <c r="D12" i="7"/>
  <c r="E32" i="8" s="1"/>
  <c r="D11" i="7"/>
  <c r="E24" i="8" s="1"/>
  <c r="D10" i="7"/>
  <c r="E17" i="8" s="1"/>
  <c r="D9" i="7"/>
  <c r="E10" i="8" s="1"/>
  <c r="A10" i="7"/>
  <c r="A15" i="8" s="1"/>
  <c r="A11" i="7"/>
  <c r="A22" i="8" s="1"/>
  <c r="A12" i="7"/>
  <c r="A30" i="8" s="1"/>
  <c r="A9" i="7"/>
  <c r="A8" i="8" s="1"/>
  <c r="I28" i="15"/>
  <c r="J28" i="15"/>
  <c r="K28" i="15"/>
  <c r="L28" i="15"/>
  <c r="M28" i="15"/>
  <c r="N28" i="15"/>
  <c r="O28" i="15"/>
  <c r="P28" i="15"/>
  <c r="Q28" i="15"/>
  <c r="R28" i="15"/>
  <c r="S28" i="15"/>
  <c r="T28" i="15" s="1"/>
  <c r="H28" i="15"/>
  <c r="A23" i="15"/>
  <c r="H25" i="15"/>
  <c r="I25" i="15" s="1"/>
  <c r="J25" i="15" s="1"/>
  <c r="K25" i="15" s="1"/>
  <c r="L25" i="15" s="1"/>
  <c r="M25" i="15" s="1"/>
  <c r="N25" i="15" s="1"/>
  <c r="O25" i="15" s="1"/>
  <c r="P25" i="15" s="1"/>
  <c r="Q25" i="15" s="1"/>
  <c r="R25" i="15" s="1"/>
  <c r="S25" i="15" s="1"/>
  <c r="T25" i="15" s="1"/>
  <c r="H26" i="15"/>
  <c r="H27" i="15"/>
  <c r="H29" i="15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24" i="15"/>
  <c r="A25" i="15"/>
  <c r="A26" i="15"/>
  <c r="A27" i="15"/>
  <c r="A28" i="15"/>
  <c r="A29" i="15"/>
  <c r="A30" i="15"/>
  <c r="A31" i="15"/>
  <c r="H22" i="15"/>
  <c r="I22" i="15" s="1"/>
  <c r="J22" i="15" s="1"/>
  <c r="H18" i="15"/>
  <c r="I18" i="15" s="1"/>
  <c r="J18" i="15" s="1"/>
  <c r="K18" i="15" s="1"/>
  <c r="L18" i="15" s="1"/>
  <c r="M18" i="15" s="1"/>
  <c r="N18" i="15" s="1"/>
  <c r="O18" i="15" s="1"/>
  <c r="P18" i="15" s="1"/>
  <c r="Q18" i="15" s="1"/>
  <c r="R18" i="15" s="1"/>
  <c r="S18" i="15" s="1"/>
  <c r="T18" i="15" s="1"/>
  <c r="A16" i="15"/>
  <c r="A17" i="15"/>
  <c r="A15" i="15"/>
  <c r="F9" i="15"/>
  <c r="G9" i="15"/>
  <c r="F10" i="15"/>
  <c r="G10" i="15"/>
  <c r="F11" i="15"/>
  <c r="G11" i="15"/>
  <c r="F12" i="15"/>
  <c r="G12" i="15"/>
  <c r="E10" i="15"/>
  <c r="E11" i="15"/>
  <c r="E12" i="15"/>
  <c r="E9" i="15"/>
  <c r="A12" i="15"/>
  <c r="A10" i="15"/>
  <c r="A11" i="15"/>
  <c r="A9" i="15"/>
  <c r="H40" i="2"/>
  <c r="I40" i="2" s="1"/>
  <c r="J40" i="2" s="1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AG40" i="2" s="1"/>
  <c r="AH40" i="2" s="1"/>
  <c r="AI40" i="2" s="1"/>
  <c r="AJ40" i="2" s="1"/>
  <c r="AK40" i="2" s="1"/>
  <c r="AL40" i="2" s="1"/>
  <c r="AM40" i="2" s="1"/>
  <c r="AN40" i="2" s="1"/>
  <c r="H41" i="2"/>
  <c r="H39" i="2"/>
  <c r="I39" i="2" s="1"/>
  <c r="J39" i="2" s="1"/>
  <c r="H35" i="2"/>
  <c r="I35" i="2" s="1"/>
  <c r="J35" i="2" s="1"/>
  <c r="K35" i="2" s="1"/>
  <c r="L35" i="2" s="1"/>
  <c r="M35" i="2" s="1"/>
  <c r="N35" i="2" s="1"/>
  <c r="O35" i="2" s="1"/>
  <c r="P35" i="2" s="1"/>
  <c r="Q35" i="2" s="1"/>
  <c r="R35" i="2" s="1"/>
  <c r="S35" i="2" s="1"/>
  <c r="T35" i="2" s="1"/>
  <c r="H36" i="2"/>
  <c r="I36" i="2" s="1"/>
  <c r="J36" i="2" s="1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H34" i="2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H29" i="2"/>
  <c r="I29" i="2" s="1"/>
  <c r="J29" i="2" s="1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H30" i="2"/>
  <c r="H28" i="2"/>
  <c r="I28" i="2" s="1"/>
  <c r="J28" i="2" s="1"/>
  <c r="K28" i="2" s="1"/>
  <c r="H24" i="2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H25" i="2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H23" i="2"/>
  <c r="I23" i="2" s="1"/>
  <c r="F8" i="2"/>
  <c r="F9" i="2" s="1"/>
  <c r="G8" i="2"/>
  <c r="G9" i="2" s="1"/>
  <c r="E8" i="2"/>
  <c r="E9" i="2" s="1"/>
  <c r="D6" i="7"/>
  <c r="E6" i="12"/>
  <c r="F6" i="12" s="1"/>
  <c r="G6" i="12" s="1"/>
  <c r="E6" i="11"/>
  <c r="F6" i="11" s="1"/>
  <c r="G6" i="11" s="1"/>
  <c r="F6" i="10"/>
  <c r="G6" i="10" s="1"/>
  <c r="H6" i="10" s="1"/>
  <c r="E6" i="9"/>
  <c r="F6" i="9" s="1"/>
  <c r="G6" i="9" s="1"/>
  <c r="E6" i="8"/>
  <c r="E6" i="15"/>
  <c r="F6" i="15" s="1"/>
  <c r="G6" i="15" s="1"/>
  <c r="H6" i="15" s="1"/>
  <c r="I6" i="15" s="1"/>
  <c r="J6" i="15" s="1"/>
  <c r="K6" i="15" s="1"/>
  <c r="L6" i="15" s="1"/>
  <c r="M6" i="15" s="1"/>
  <c r="N6" i="15" s="1"/>
  <c r="O6" i="15" s="1"/>
  <c r="P6" i="15" s="1"/>
  <c r="Q6" i="15" s="1"/>
  <c r="R6" i="15" s="1"/>
  <c r="S6" i="15" s="1"/>
  <c r="T6" i="15" s="1"/>
  <c r="U6" i="15" s="1"/>
  <c r="V6" i="15" s="1"/>
  <c r="W6" i="15" s="1"/>
  <c r="X6" i="15" s="1"/>
  <c r="Y6" i="15" s="1"/>
  <c r="Z6" i="15" s="1"/>
  <c r="AA6" i="15" s="1"/>
  <c r="AB6" i="15" s="1"/>
  <c r="AC6" i="15" s="1"/>
  <c r="AD6" i="15" s="1"/>
  <c r="AE6" i="15" s="1"/>
  <c r="AF6" i="15" s="1"/>
  <c r="AG6" i="15" s="1"/>
  <c r="AH6" i="15" s="1"/>
  <c r="AI6" i="15" s="1"/>
  <c r="AJ6" i="15" s="1"/>
  <c r="AK6" i="15" s="1"/>
  <c r="AL6" i="15" s="1"/>
  <c r="AM6" i="15" s="1"/>
  <c r="AN6" i="15" s="1"/>
  <c r="F5" i="15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AH5" i="15" s="1"/>
  <c r="AI5" i="15" s="1"/>
  <c r="AJ5" i="15" s="1"/>
  <c r="AK5" i="15" s="1"/>
  <c r="AL5" i="15" s="1"/>
  <c r="AM5" i="15" s="1"/>
  <c r="AN5" i="15" s="1"/>
  <c r="F5" i="2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E6" i="2"/>
  <c r="F6" i="2" s="1"/>
  <c r="G6" i="2" s="1"/>
  <c r="R37" i="2" l="1"/>
  <c r="I41" i="2"/>
  <c r="I42" i="2" s="1"/>
  <c r="E34" i="8"/>
  <c r="E35" i="8" s="1"/>
  <c r="L37" i="2"/>
  <c r="K37" i="2"/>
  <c r="H42" i="2"/>
  <c r="K22" i="15"/>
  <c r="U36" i="2"/>
  <c r="J37" i="2"/>
  <c r="U35" i="2"/>
  <c r="T37" i="2"/>
  <c r="S37" i="2"/>
  <c r="F28" i="10"/>
  <c r="F29" i="10"/>
  <c r="F18" i="10"/>
  <c r="F25" i="10"/>
  <c r="E26" i="8"/>
  <c r="E27" i="8" s="1"/>
  <c r="I27" i="15"/>
  <c r="J27" i="15" s="1"/>
  <c r="K27" i="15" s="1"/>
  <c r="L27" i="15" s="1"/>
  <c r="M27" i="15" s="1"/>
  <c r="N27" i="15" s="1"/>
  <c r="O27" i="15" s="1"/>
  <c r="P27" i="15" s="1"/>
  <c r="Q27" i="15" s="1"/>
  <c r="R27" i="15" s="1"/>
  <c r="S27" i="15" s="1"/>
  <c r="T27" i="15" s="1"/>
  <c r="U27" i="15" s="1"/>
  <c r="V27" i="15" s="1"/>
  <c r="W27" i="15" s="1"/>
  <c r="X27" i="15" s="1"/>
  <c r="Y27" i="15" s="1"/>
  <c r="Z27" i="15" s="1"/>
  <c r="AA27" i="15" s="1"/>
  <c r="AB27" i="15" s="1"/>
  <c r="AC27" i="15" s="1"/>
  <c r="AD27" i="15" s="1"/>
  <c r="AE27" i="15" s="1"/>
  <c r="AF27" i="15" s="1"/>
  <c r="AG27" i="15" s="1"/>
  <c r="AH27" i="15" s="1"/>
  <c r="AI27" i="15" s="1"/>
  <c r="AJ27" i="15" s="1"/>
  <c r="AK27" i="15" s="1"/>
  <c r="AL27" i="15" s="1"/>
  <c r="AM27" i="15" s="1"/>
  <c r="AN27" i="15" s="1"/>
  <c r="D13" i="7"/>
  <c r="I26" i="15"/>
  <c r="J26" i="15" s="1"/>
  <c r="K26" i="15" s="1"/>
  <c r="L26" i="15" s="1"/>
  <c r="M26" i="15" s="1"/>
  <c r="N26" i="15" s="1"/>
  <c r="O26" i="15" s="1"/>
  <c r="P26" i="15" s="1"/>
  <c r="Q26" i="15" s="1"/>
  <c r="R26" i="15" s="1"/>
  <c r="S26" i="15" s="1"/>
  <c r="T26" i="15" s="1"/>
  <c r="U26" i="15" s="1"/>
  <c r="V26" i="15" s="1"/>
  <c r="W26" i="15" s="1"/>
  <c r="X26" i="15" s="1"/>
  <c r="Y26" i="15" s="1"/>
  <c r="Z26" i="15" s="1"/>
  <c r="AA26" i="15" s="1"/>
  <c r="AB26" i="15" s="1"/>
  <c r="AC26" i="15" s="1"/>
  <c r="AD26" i="15" s="1"/>
  <c r="AE26" i="15" s="1"/>
  <c r="AF26" i="15" s="1"/>
  <c r="AG26" i="15" s="1"/>
  <c r="AH26" i="15" s="1"/>
  <c r="AI26" i="15" s="1"/>
  <c r="AJ26" i="15" s="1"/>
  <c r="AK26" i="15" s="1"/>
  <c r="AL26" i="15" s="1"/>
  <c r="AM26" i="15" s="1"/>
  <c r="AN26" i="15" s="1"/>
  <c r="E18" i="12"/>
  <c r="E30" i="11"/>
  <c r="F30" i="11" s="1"/>
  <c r="G30" i="11" s="1"/>
  <c r="U25" i="15"/>
  <c r="V25" i="15" s="1"/>
  <c r="W25" i="15" s="1"/>
  <c r="X25" i="15" s="1"/>
  <c r="Y25" i="15" s="1"/>
  <c r="Z25" i="15" s="1"/>
  <c r="AA25" i="15" s="1"/>
  <c r="AB25" i="15" s="1"/>
  <c r="AC25" i="15" s="1"/>
  <c r="U28" i="15"/>
  <c r="V28" i="15" s="1"/>
  <c r="W28" i="15" s="1"/>
  <c r="X28" i="15" s="1"/>
  <c r="Y28" i="15" s="1"/>
  <c r="Z28" i="15" s="1"/>
  <c r="AA28" i="15" s="1"/>
  <c r="AB28" i="15" s="1"/>
  <c r="AC28" i="15" s="1"/>
  <c r="G29" i="10"/>
  <c r="AD29" i="15"/>
  <c r="AE29" i="15" s="1"/>
  <c r="AF29" i="15" s="1"/>
  <c r="AG29" i="15" s="1"/>
  <c r="AH29" i="15" s="1"/>
  <c r="AI29" i="15" s="1"/>
  <c r="AJ29" i="15" s="1"/>
  <c r="AK29" i="15" s="1"/>
  <c r="AL29" i="15" s="1"/>
  <c r="AM29" i="15" s="1"/>
  <c r="AN29" i="15" s="1"/>
  <c r="U18" i="15"/>
  <c r="F6" i="8"/>
  <c r="G6" i="8" s="1"/>
  <c r="E19" i="8"/>
  <c r="E20" i="8" s="1"/>
  <c r="E12" i="8"/>
  <c r="K39" i="2"/>
  <c r="V34" i="2"/>
  <c r="H37" i="2"/>
  <c r="Q37" i="2"/>
  <c r="I37" i="2"/>
  <c r="P37" i="2"/>
  <c r="O37" i="2"/>
  <c r="N37" i="2"/>
  <c r="M37" i="2"/>
  <c r="J23" i="2"/>
  <c r="I26" i="2"/>
  <c r="U29" i="2"/>
  <c r="H26" i="2"/>
  <c r="H31" i="2"/>
  <c r="I30" i="2"/>
  <c r="F13" i="2"/>
  <c r="L28" i="2"/>
  <c r="E14" i="2"/>
  <c r="G14" i="2"/>
  <c r="F14" i="2"/>
  <c r="E18" i="2"/>
  <c r="F17" i="2"/>
  <c r="E13" i="2"/>
  <c r="E17" i="2"/>
  <c r="G13" i="2"/>
  <c r="G17" i="2"/>
  <c r="G18" i="2"/>
  <c r="F18" i="2"/>
  <c r="H6" i="2"/>
  <c r="U37" i="2" l="1"/>
  <c r="F26" i="10"/>
  <c r="G26" i="10"/>
  <c r="F27" i="10"/>
  <c r="V35" i="2"/>
  <c r="F16" i="8"/>
  <c r="E26" i="11"/>
  <c r="L22" i="15"/>
  <c r="F31" i="8"/>
  <c r="E28" i="11"/>
  <c r="E17" i="12"/>
  <c r="E20" i="12" s="1"/>
  <c r="D18" i="7"/>
  <c r="J41" i="2"/>
  <c r="F23" i="8"/>
  <c r="E27" i="11"/>
  <c r="J30" i="2"/>
  <c r="J31" i="2" s="1"/>
  <c r="E13" i="8"/>
  <c r="F35" i="10"/>
  <c r="E11" i="12" s="1"/>
  <c r="V29" i="2"/>
  <c r="G27" i="10"/>
  <c r="V36" i="2"/>
  <c r="G28" i="10"/>
  <c r="H29" i="10"/>
  <c r="H26" i="10"/>
  <c r="H27" i="10"/>
  <c r="AD25" i="15"/>
  <c r="AE25" i="15" s="1"/>
  <c r="AF25" i="15" s="1"/>
  <c r="AG25" i="15" s="1"/>
  <c r="AH25" i="15" s="1"/>
  <c r="AI25" i="15" s="1"/>
  <c r="AJ25" i="15" s="1"/>
  <c r="AK25" i="15" s="1"/>
  <c r="AL25" i="15" s="1"/>
  <c r="AM25" i="15" s="1"/>
  <c r="AN25" i="15" s="1"/>
  <c r="AD28" i="15"/>
  <c r="AE28" i="15" s="1"/>
  <c r="AF28" i="15" s="1"/>
  <c r="AG28" i="15" s="1"/>
  <c r="AH28" i="15" s="1"/>
  <c r="AI28" i="15" s="1"/>
  <c r="AJ28" i="15" s="1"/>
  <c r="AK28" i="15" s="1"/>
  <c r="AL28" i="15" s="1"/>
  <c r="AM28" i="15" s="1"/>
  <c r="AN28" i="15" s="1"/>
  <c r="G25" i="10"/>
  <c r="V18" i="15"/>
  <c r="F19" i="8"/>
  <c r="F20" i="8" s="1"/>
  <c r="W34" i="2"/>
  <c r="L39" i="2"/>
  <c r="J26" i="2"/>
  <c r="K23" i="2"/>
  <c r="I31" i="2"/>
  <c r="M28" i="2"/>
  <c r="I6" i="2"/>
  <c r="I8" i="2" s="1"/>
  <c r="H8" i="2"/>
  <c r="V37" i="2" l="1"/>
  <c r="H28" i="10"/>
  <c r="K41" i="2"/>
  <c r="J42" i="2"/>
  <c r="F9" i="8"/>
  <c r="E25" i="11"/>
  <c r="E29" i="11" s="1"/>
  <c r="E31" i="11" s="1"/>
  <c r="M22" i="15"/>
  <c r="H25" i="10"/>
  <c r="E9" i="11"/>
  <c r="F9" i="11" s="1"/>
  <c r="G9" i="11" s="1"/>
  <c r="D22" i="7"/>
  <c r="E24" i="12" s="1"/>
  <c r="D21" i="7"/>
  <c r="G16" i="8"/>
  <c r="G19" i="8" s="1"/>
  <c r="G20" i="8" s="1"/>
  <c r="G26" i="11" s="1"/>
  <c r="F26" i="11"/>
  <c r="W36" i="2"/>
  <c r="K30" i="2"/>
  <c r="F26" i="8"/>
  <c r="F27" i="8" s="1"/>
  <c r="W35" i="2"/>
  <c r="W29" i="2"/>
  <c r="F34" i="8"/>
  <c r="F35" i="8" s="1"/>
  <c r="W18" i="15"/>
  <c r="M39" i="2"/>
  <c r="X34" i="2"/>
  <c r="K26" i="2"/>
  <c r="L23" i="2"/>
  <c r="N28" i="2"/>
  <c r="H9" i="2"/>
  <c r="H18" i="2"/>
  <c r="H13" i="2"/>
  <c r="H14" i="2"/>
  <c r="H17" i="2"/>
  <c r="I9" i="2"/>
  <c r="J6" i="2"/>
  <c r="G23" i="8" l="1"/>
  <c r="F27" i="11"/>
  <c r="G31" i="8"/>
  <c r="G34" i="8" s="1"/>
  <c r="G35" i="8" s="1"/>
  <c r="G28" i="11" s="1"/>
  <c r="F28" i="11"/>
  <c r="X35" i="2"/>
  <c r="I13" i="2"/>
  <c r="H48" i="2"/>
  <c r="H47" i="2"/>
  <c r="H49" i="2"/>
  <c r="I14" i="2"/>
  <c r="H54" i="2"/>
  <c r="H52" i="2"/>
  <c r="H53" i="2"/>
  <c r="W37" i="2"/>
  <c r="N22" i="15"/>
  <c r="E23" i="12"/>
  <c r="E26" i="12" s="1"/>
  <c r="D23" i="7"/>
  <c r="F12" i="8"/>
  <c r="G35" i="10" s="1"/>
  <c r="F11" i="12" s="1"/>
  <c r="I18" i="2"/>
  <c r="H64" i="2"/>
  <c r="H65" i="2"/>
  <c r="H66" i="2"/>
  <c r="L30" i="2"/>
  <c r="K31" i="2"/>
  <c r="X29" i="2"/>
  <c r="X36" i="2"/>
  <c r="L41" i="2"/>
  <c r="K42" i="2"/>
  <c r="I17" i="2"/>
  <c r="H60" i="2"/>
  <c r="H61" i="2"/>
  <c r="H59" i="2"/>
  <c r="X18" i="15"/>
  <c r="Y34" i="2"/>
  <c r="N39" i="2"/>
  <c r="M23" i="2"/>
  <c r="L26" i="2"/>
  <c r="O28" i="2"/>
  <c r="K6" i="2"/>
  <c r="K8" i="2" s="1"/>
  <c r="J8" i="2"/>
  <c r="H62" i="2" l="1"/>
  <c r="H55" i="2"/>
  <c r="H72" i="2"/>
  <c r="H11" i="15" s="1"/>
  <c r="F13" i="8"/>
  <c r="H71" i="2"/>
  <c r="H10" i="15" s="1"/>
  <c r="I48" i="2"/>
  <c r="I47" i="2"/>
  <c r="I49" i="2"/>
  <c r="I53" i="2"/>
  <c r="I52" i="2"/>
  <c r="I54" i="2"/>
  <c r="Y36" i="2"/>
  <c r="X37" i="2"/>
  <c r="H67" i="2"/>
  <c r="M41" i="2"/>
  <c r="L42" i="2"/>
  <c r="M30" i="2"/>
  <c r="L31" i="2"/>
  <c r="Y35" i="2"/>
  <c r="O22" i="15"/>
  <c r="I60" i="2"/>
  <c r="I59" i="2"/>
  <c r="I61" i="2"/>
  <c r="Y29" i="2"/>
  <c r="I64" i="2"/>
  <c r="I65" i="2"/>
  <c r="I66" i="2"/>
  <c r="H70" i="2"/>
  <c r="H50" i="2"/>
  <c r="G26" i="8"/>
  <c r="G27" i="8" s="1"/>
  <c r="G27" i="11" s="1"/>
  <c r="Y18" i="15"/>
  <c r="O39" i="2"/>
  <c r="Z34" i="2"/>
  <c r="N23" i="2"/>
  <c r="M26" i="2"/>
  <c r="P28" i="2"/>
  <c r="J9" i="2"/>
  <c r="J13" i="2"/>
  <c r="J17" i="2"/>
  <c r="K9" i="2"/>
  <c r="J18" i="2"/>
  <c r="J14" i="2"/>
  <c r="L6" i="2"/>
  <c r="Y37" i="2" l="1"/>
  <c r="I71" i="2"/>
  <c r="I10" i="15" s="1"/>
  <c r="I16" i="15" s="1"/>
  <c r="I62" i="2"/>
  <c r="H16" i="15"/>
  <c r="I67" i="2"/>
  <c r="G9" i="8"/>
  <c r="F25" i="11"/>
  <c r="F29" i="11" s="1"/>
  <c r="F31" i="11" s="1"/>
  <c r="H17" i="15"/>
  <c r="Z29" i="2"/>
  <c r="Z35" i="2"/>
  <c r="N41" i="2"/>
  <c r="M42" i="2"/>
  <c r="I55" i="2"/>
  <c r="K17" i="2"/>
  <c r="J59" i="2"/>
  <c r="J60" i="2"/>
  <c r="J61" i="2"/>
  <c r="I72" i="2"/>
  <c r="I11" i="15" s="1"/>
  <c r="I17" i="15" s="1"/>
  <c r="K14" i="2"/>
  <c r="J53" i="2"/>
  <c r="J52" i="2"/>
  <c r="J54" i="2"/>
  <c r="P22" i="15"/>
  <c r="K18" i="2"/>
  <c r="J64" i="2"/>
  <c r="J65" i="2"/>
  <c r="J66" i="2"/>
  <c r="K13" i="2"/>
  <c r="J49" i="2"/>
  <c r="J48" i="2"/>
  <c r="J47" i="2"/>
  <c r="H73" i="2"/>
  <c r="H12" i="15" s="1"/>
  <c r="H9" i="15"/>
  <c r="N30" i="2"/>
  <c r="M31" i="2"/>
  <c r="Z36" i="2"/>
  <c r="I70" i="2"/>
  <c r="I50" i="2"/>
  <c r="Z18" i="15"/>
  <c r="P39" i="2"/>
  <c r="AA34" i="2"/>
  <c r="O23" i="2"/>
  <c r="N26" i="2"/>
  <c r="Q28" i="2"/>
  <c r="M6" i="2"/>
  <c r="M8" i="2" s="1"/>
  <c r="L8" i="2"/>
  <c r="J67" i="2" l="1"/>
  <c r="L18" i="2"/>
  <c r="Z37" i="2"/>
  <c r="J71" i="2"/>
  <c r="J10" i="15" s="1"/>
  <c r="J16" i="15" s="1"/>
  <c r="H15" i="15"/>
  <c r="H30" i="15"/>
  <c r="H31" i="15"/>
  <c r="H24" i="15"/>
  <c r="H23" i="15"/>
  <c r="K53" i="2"/>
  <c r="K52" i="2"/>
  <c r="K54" i="2"/>
  <c r="I73" i="2"/>
  <c r="I12" i="15" s="1"/>
  <c r="I9" i="15"/>
  <c r="I15" i="15" s="1"/>
  <c r="I19" i="15" s="1"/>
  <c r="J70" i="2"/>
  <c r="J50" i="2"/>
  <c r="K65" i="2"/>
  <c r="K64" i="2"/>
  <c r="K66" i="2"/>
  <c r="O41" i="2"/>
  <c r="N42" i="2"/>
  <c r="G12" i="8"/>
  <c r="H35" i="10" s="1"/>
  <c r="G11" i="12" s="1"/>
  <c r="J72" i="2"/>
  <c r="J11" i="15" s="1"/>
  <c r="J17" i="15" s="1"/>
  <c r="Q22" i="15"/>
  <c r="F22" i="10"/>
  <c r="AA35" i="2"/>
  <c r="AA36" i="2"/>
  <c r="K48" i="2"/>
  <c r="K49" i="2"/>
  <c r="K47" i="2"/>
  <c r="J62" i="2"/>
  <c r="O30" i="2"/>
  <c r="N31" i="2"/>
  <c r="J55" i="2"/>
  <c r="K60" i="2"/>
  <c r="K61" i="2"/>
  <c r="K59" i="2"/>
  <c r="AA29" i="2"/>
  <c r="AA18" i="15"/>
  <c r="Q39" i="2"/>
  <c r="AB34" i="2"/>
  <c r="M18" i="2"/>
  <c r="P23" i="2"/>
  <c r="O26" i="2"/>
  <c r="R28" i="2"/>
  <c r="L9" i="2"/>
  <c r="L13" i="2"/>
  <c r="M9" i="2"/>
  <c r="L17" i="2"/>
  <c r="L14" i="2"/>
  <c r="N6" i="2"/>
  <c r="N8" i="2" s="1"/>
  <c r="N9" i="2" s="1"/>
  <c r="L66" i="2" l="1"/>
  <c r="AA37" i="2"/>
  <c r="K67" i="2"/>
  <c r="K55" i="2"/>
  <c r="K62" i="2"/>
  <c r="K70" i="2"/>
  <c r="K50" i="2"/>
  <c r="M14" i="2"/>
  <c r="N14" i="2" s="1"/>
  <c r="L53" i="2"/>
  <c r="L52" i="2"/>
  <c r="L54" i="2"/>
  <c r="K71" i="2"/>
  <c r="K10" i="15" s="1"/>
  <c r="R22" i="15"/>
  <c r="L64" i="2"/>
  <c r="P41" i="2"/>
  <c r="O42" i="2"/>
  <c r="H32" i="15"/>
  <c r="M65" i="2"/>
  <c r="M64" i="2"/>
  <c r="M66" i="2"/>
  <c r="L65" i="2"/>
  <c r="M17" i="2"/>
  <c r="N17" i="2" s="1"/>
  <c r="L59" i="2"/>
  <c r="L60" i="2"/>
  <c r="L61" i="2"/>
  <c r="P30" i="2"/>
  <c r="O31" i="2"/>
  <c r="AB36" i="2"/>
  <c r="G13" i="8"/>
  <c r="G25" i="11" s="1"/>
  <c r="G29" i="11" s="1"/>
  <c r="G31" i="11" s="1"/>
  <c r="M13" i="2"/>
  <c r="N13" i="2" s="1"/>
  <c r="L49" i="2"/>
  <c r="L48" i="2"/>
  <c r="L47" i="2"/>
  <c r="AB29" i="2"/>
  <c r="J73" i="2"/>
  <c r="J12" i="15" s="1"/>
  <c r="J9" i="15"/>
  <c r="AB35" i="2"/>
  <c r="H19" i="15"/>
  <c r="I24" i="15"/>
  <c r="I31" i="15"/>
  <c r="I23" i="15"/>
  <c r="I30" i="15"/>
  <c r="K72" i="2"/>
  <c r="K11" i="15" s="1"/>
  <c r="K17" i="15" s="1"/>
  <c r="AB18" i="15"/>
  <c r="R39" i="2"/>
  <c r="AC34" i="2"/>
  <c r="Q23" i="2"/>
  <c r="P26" i="2"/>
  <c r="S28" i="2"/>
  <c r="N18" i="2"/>
  <c r="O6" i="2"/>
  <c r="O8" i="2" s="1"/>
  <c r="O9" i="2" s="1"/>
  <c r="AB37" i="2" l="1"/>
  <c r="L72" i="2"/>
  <c r="L11" i="15" s="1"/>
  <c r="L17" i="15" s="1"/>
  <c r="H34" i="15"/>
  <c r="H36" i="15" s="1"/>
  <c r="I32" i="15"/>
  <c r="I34" i="15" s="1"/>
  <c r="I36" i="15" s="1"/>
  <c r="N59" i="2"/>
  <c r="N60" i="2"/>
  <c r="N61" i="2"/>
  <c r="AC29" i="2"/>
  <c r="M59" i="2"/>
  <c r="M61" i="2"/>
  <c r="M60" i="2"/>
  <c r="K16" i="15"/>
  <c r="J30" i="15"/>
  <c r="J31" i="15"/>
  <c r="J23" i="15"/>
  <c r="J24" i="15"/>
  <c r="N53" i="2"/>
  <c r="N52" i="2"/>
  <c r="N54" i="2"/>
  <c r="AC36" i="2"/>
  <c r="N48" i="2"/>
  <c r="N49" i="2"/>
  <c r="N47" i="2"/>
  <c r="L50" i="2"/>
  <c r="L70" i="2"/>
  <c r="AC35" i="2"/>
  <c r="L71" i="2"/>
  <c r="L10" i="15" s="1"/>
  <c r="L16" i="15" s="1"/>
  <c r="Q41" i="2"/>
  <c r="P42" i="2"/>
  <c r="L55" i="2"/>
  <c r="Q30" i="2"/>
  <c r="P31" i="2"/>
  <c r="J15" i="15"/>
  <c r="M48" i="2"/>
  <c r="M49" i="2"/>
  <c r="M47" i="2"/>
  <c r="M67" i="2"/>
  <c r="L67" i="2"/>
  <c r="M53" i="2"/>
  <c r="M52" i="2"/>
  <c r="M54" i="2"/>
  <c r="N65" i="2"/>
  <c r="N64" i="2"/>
  <c r="N66" i="2"/>
  <c r="L62" i="2"/>
  <c r="S22" i="15"/>
  <c r="K9" i="15"/>
  <c r="K15" i="15" s="1"/>
  <c r="K73" i="2"/>
  <c r="K12" i="15" s="1"/>
  <c r="AC18" i="15"/>
  <c r="G18" i="10"/>
  <c r="S39" i="2"/>
  <c r="AD34" i="2"/>
  <c r="R23" i="2"/>
  <c r="Q26" i="2"/>
  <c r="T28" i="2"/>
  <c r="O17" i="2"/>
  <c r="O13" i="2"/>
  <c r="O18" i="2"/>
  <c r="O14" i="2"/>
  <c r="P6" i="2"/>
  <c r="N55" i="2" l="1"/>
  <c r="N72" i="2"/>
  <c r="N11" i="15" s="1"/>
  <c r="N17" i="15" s="1"/>
  <c r="N71" i="2"/>
  <c r="N10" i="15" s="1"/>
  <c r="N16" i="15" s="1"/>
  <c r="J32" i="15"/>
  <c r="AD35" i="2"/>
  <c r="M62" i="2"/>
  <c r="O53" i="2"/>
  <c r="O52" i="2"/>
  <c r="O54" i="2"/>
  <c r="AC37" i="2"/>
  <c r="R30" i="2"/>
  <c r="Q31" i="2"/>
  <c r="O65" i="2"/>
  <c r="O64" i="2"/>
  <c r="O66" i="2"/>
  <c r="N67" i="2"/>
  <c r="M70" i="2"/>
  <c r="M50" i="2"/>
  <c r="AD36" i="2"/>
  <c r="AD29" i="2"/>
  <c r="O48" i="2"/>
  <c r="O49" i="2"/>
  <c r="O47" i="2"/>
  <c r="M72" i="2"/>
  <c r="M11" i="15" s="1"/>
  <c r="L73" i="2"/>
  <c r="L12" i="15" s="1"/>
  <c r="L9" i="15"/>
  <c r="L15" i="15" s="1"/>
  <c r="L19" i="15" s="1"/>
  <c r="T22" i="15"/>
  <c r="O60" i="2"/>
  <c r="O59" i="2"/>
  <c r="O61" i="2"/>
  <c r="K31" i="15"/>
  <c r="K23" i="15"/>
  <c r="K30" i="15"/>
  <c r="K24" i="15"/>
  <c r="M71" i="2"/>
  <c r="M10" i="15" s="1"/>
  <c r="K19" i="15"/>
  <c r="R41" i="2"/>
  <c r="Q42" i="2"/>
  <c r="N62" i="2"/>
  <c r="M55" i="2"/>
  <c r="J19" i="15"/>
  <c r="N70" i="2"/>
  <c r="N50" i="2"/>
  <c r="AD18" i="15"/>
  <c r="AE34" i="2"/>
  <c r="T39" i="2"/>
  <c r="U28" i="2"/>
  <c r="S23" i="2"/>
  <c r="R26" i="2"/>
  <c r="Q6" i="2"/>
  <c r="Q8" i="2" s="1"/>
  <c r="Q9" i="2" s="1"/>
  <c r="P8" i="2"/>
  <c r="P9" i="2" s="1"/>
  <c r="AD37" i="2" l="1"/>
  <c r="J34" i="15"/>
  <c r="J36" i="15" s="1"/>
  <c r="K32" i="15"/>
  <c r="K34" i="15"/>
  <c r="K36" i="15" s="1"/>
  <c r="N73" i="2"/>
  <c r="N12" i="15" s="1"/>
  <c r="N9" i="15"/>
  <c r="N15" i="15" s="1"/>
  <c r="N19" i="15" s="1"/>
  <c r="U22" i="15"/>
  <c r="AE29" i="2"/>
  <c r="O67" i="2"/>
  <c r="O55" i="2"/>
  <c r="L31" i="15"/>
  <c r="L23" i="15"/>
  <c r="L24" i="15"/>
  <c r="L30" i="15"/>
  <c r="AE36" i="2"/>
  <c r="S41" i="2"/>
  <c r="R42" i="2"/>
  <c r="M17" i="15"/>
  <c r="O70" i="2"/>
  <c r="O50" i="2"/>
  <c r="M9" i="15"/>
  <c r="M73" i="2"/>
  <c r="M12" i="15" s="1"/>
  <c r="O62" i="2"/>
  <c r="O72" i="2"/>
  <c r="O11" i="15" s="1"/>
  <c r="O17" i="15" s="1"/>
  <c r="S30" i="2"/>
  <c r="R31" i="2"/>
  <c r="AE35" i="2"/>
  <c r="M16" i="15"/>
  <c r="O71" i="2"/>
  <c r="O10" i="15" s="1"/>
  <c r="O16" i="15" s="1"/>
  <c r="AE18" i="15"/>
  <c r="U39" i="2"/>
  <c r="AF34" i="2"/>
  <c r="S26" i="2"/>
  <c r="T23" i="2"/>
  <c r="V28" i="2"/>
  <c r="P13" i="2"/>
  <c r="P18" i="2"/>
  <c r="P17" i="2"/>
  <c r="P14" i="2"/>
  <c r="R6" i="2"/>
  <c r="AE37" i="2" l="1"/>
  <c r="L32" i="15"/>
  <c r="L34" i="15" s="1"/>
  <c r="L36" i="15" s="1"/>
  <c r="V22" i="15"/>
  <c r="Q14" i="2"/>
  <c r="P53" i="2"/>
  <c r="P52" i="2"/>
  <c r="P54" i="2"/>
  <c r="M30" i="15"/>
  <c r="M24" i="15"/>
  <c r="M23" i="15"/>
  <c r="M31" i="15"/>
  <c r="Q17" i="2"/>
  <c r="P59" i="2"/>
  <c r="P60" i="2"/>
  <c r="P61" i="2"/>
  <c r="AF35" i="2"/>
  <c r="M15" i="15"/>
  <c r="T41" i="2"/>
  <c r="S42" i="2"/>
  <c r="Q18" i="2"/>
  <c r="P65" i="2"/>
  <c r="P64" i="2"/>
  <c r="P66" i="2"/>
  <c r="N31" i="15"/>
  <c r="N23" i="15"/>
  <c r="N30" i="15"/>
  <c r="N24" i="15"/>
  <c r="Q13" i="2"/>
  <c r="P49" i="2"/>
  <c r="P48" i="2"/>
  <c r="P71" i="2" s="1"/>
  <c r="P10" i="15" s="1"/>
  <c r="P47" i="2"/>
  <c r="O73" i="2"/>
  <c r="O12" i="15" s="1"/>
  <c r="O9" i="15"/>
  <c r="O15" i="15" s="1"/>
  <c r="O19" i="15" s="1"/>
  <c r="AF36" i="2"/>
  <c r="T30" i="2"/>
  <c r="S31" i="2"/>
  <c r="AF29" i="2"/>
  <c r="AF18" i="15"/>
  <c r="AG34" i="2"/>
  <c r="V39" i="2"/>
  <c r="T26" i="2"/>
  <c r="U23" i="2"/>
  <c r="W28" i="2"/>
  <c r="S6" i="2"/>
  <c r="S8" i="2" s="1"/>
  <c r="S9" i="2" s="1"/>
  <c r="R8" i="2"/>
  <c r="R9" i="2" s="1"/>
  <c r="AF37" i="2" l="1"/>
  <c r="N32" i="15"/>
  <c r="N34" i="15" s="1"/>
  <c r="N36" i="15" s="1"/>
  <c r="U30" i="2"/>
  <c r="T31" i="2"/>
  <c r="P72" i="2"/>
  <c r="P11" i="15" s="1"/>
  <c r="P67" i="2"/>
  <c r="Q60" i="2"/>
  <c r="Q59" i="2"/>
  <c r="Q61" i="2"/>
  <c r="M19" i="15"/>
  <c r="Q53" i="2"/>
  <c r="Q52" i="2"/>
  <c r="Q54" i="2"/>
  <c r="AG36" i="2"/>
  <c r="Q65" i="2"/>
  <c r="Q64" i="2"/>
  <c r="Q66" i="2"/>
  <c r="M32" i="15"/>
  <c r="Q48" i="2"/>
  <c r="Q49" i="2"/>
  <c r="Q47" i="2"/>
  <c r="AG35" i="2"/>
  <c r="W22" i="15"/>
  <c r="AG29" i="2"/>
  <c r="P70" i="2"/>
  <c r="P50" i="2"/>
  <c r="O31" i="15"/>
  <c r="O23" i="15"/>
  <c r="O30" i="15"/>
  <c r="O24" i="15"/>
  <c r="P16" i="15"/>
  <c r="F10" i="10"/>
  <c r="U41" i="2"/>
  <c r="T42" i="2"/>
  <c r="P62" i="2"/>
  <c r="P55" i="2"/>
  <c r="AG18" i="15"/>
  <c r="W39" i="2"/>
  <c r="AG37" i="2"/>
  <c r="AH34" i="2"/>
  <c r="U26" i="2"/>
  <c r="V23" i="2"/>
  <c r="X28" i="2"/>
  <c r="R18" i="2"/>
  <c r="R17" i="2"/>
  <c r="R14" i="2"/>
  <c r="R13" i="2"/>
  <c r="T6" i="2"/>
  <c r="T8" i="2" s="1"/>
  <c r="T9" i="2" s="1"/>
  <c r="Q71" i="2" l="1"/>
  <c r="Q10" i="15" s="1"/>
  <c r="Q16" i="15" s="1"/>
  <c r="Q67" i="2"/>
  <c r="Q62" i="2"/>
  <c r="Q55" i="2"/>
  <c r="S13" i="2"/>
  <c r="R49" i="2"/>
  <c r="R48" i="2"/>
  <c r="R47" i="2"/>
  <c r="S14" i="2"/>
  <c r="T14" i="2" s="1"/>
  <c r="R53" i="2"/>
  <c r="R52" i="2"/>
  <c r="R54" i="2"/>
  <c r="O32" i="15"/>
  <c r="O34" i="15" s="1"/>
  <c r="O36" i="15" s="1"/>
  <c r="X22" i="15"/>
  <c r="AH36" i="2"/>
  <c r="S17" i="2"/>
  <c r="R59" i="2"/>
  <c r="R60" i="2"/>
  <c r="R61" i="2"/>
  <c r="S18" i="2"/>
  <c r="T18" i="2" s="1"/>
  <c r="R65" i="2"/>
  <c r="R64" i="2"/>
  <c r="R66" i="2"/>
  <c r="V41" i="2"/>
  <c r="U42" i="2"/>
  <c r="AH35" i="2"/>
  <c r="P17" i="15"/>
  <c r="F11" i="10"/>
  <c r="P9" i="15"/>
  <c r="P73" i="2"/>
  <c r="P12" i="15" s="1"/>
  <c r="E9" i="9"/>
  <c r="E34" i="11" s="1"/>
  <c r="E18" i="9"/>
  <c r="E17" i="11" s="1"/>
  <c r="F16" i="10"/>
  <c r="Q70" i="2"/>
  <c r="Q50" i="2"/>
  <c r="AH29" i="2"/>
  <c r="Q72" i="2"/>
  <c r="Q11" i="15" s="1"/>
  <c r="M34" i="15"/>
  <c r="M36" i="15" s="1"/>
  <c r="V30" i="2"/>
  <c r="U31" i="2"/>
  <c r="AH18" i="15"/>
  <c r="X39" i="2"/>
  <c r="AI34" i="2"/>
  <c r="W23" i="2"/>
  <c r="V26" i="2"/>
  <c r="Y28" i="2"/>
  <c r="U6" i="2"/>
  <c r="U8" i="2" s="1"/>
  <c r="U9" i="2" s="1"/>
  <c r="AH37" i="2" l="1"/>
  <c r="R67" i="2"/>
  <c r="T65" i="2"/>
  <c r="T64" i="2"/>
  <c r="T66" i="2"/>
  <c r="Q73" i="2"/>
  <c r="Q12" i="15" s="1"/>
  <c r="Q9" i="15"/>
  <c r="S53" i="2"/>
  <c r="S52" i="2"/>
  <c r="S54" i="2"/>
  <c r="E10" i="9"/>
  <c r="E35" i="11" s="1"/>
  <c r="E19" i="9"/>
  <c r="E18" i="11" s="1"/>
  <c r="F17" i="10"/>
  <c r="AI36" i="2"/>
  <c r="S60" i="2"/>
  <c r="S59" i="2"/>
  <c r="S61" i="2"/>
  <c r="T17" i="2"/>
  <c r="U17" i="2" s="1"/>
  <c r="AI35" i="2"/>
  <c r="Y22" i="15"/>
  <c r="T53" i="2"/>
  <c r="T52" i="2"/>
  <c r="T54" i="2"/>
  <c r="W30" i="2"/>
  <c r="V31" i="2"/>
  <c r="S65" i="2"/>
  <c r="S64" i="2"/>
  <c r="S66" i="2"/>
  <c r="Q17" i="15"/>
  <c r="R70" i="2"/>
  <c r="R50" i="2"/>
  <c r="S48" i="2"/>
  <c r="S49" i="2"/>
  <c r="S47" i="2"/>
  <c r="T13" i="2"/>
  <c r="U13" i="2" s="1"/>
  <c r="P24" i="15"/>
  <c r="F24" i="10" s="1"/>
  <c r="P31" i="15"/>
  <c r="F31" i="10" s="1"/>
  <c r="P23" i="15"/>
  <c r="P30" i="15"/>
  <c r="F30" i="10" s="1"/>
  <c r="R71" i="2"/>
  <c r="R10" i="15" s="1"/>
  <c r="AI29" i="2"/>
  <c r="P15" i="15"/>
  <c r="F9" i="10"/>
  <c r="F12" i="10" s="1"/>
  <c r="W41" i="2"/>
  <c r="V42" i="2"/>
  <c r="R62" i="2"/>
  <c r="R55" i="2"/>
  <c r="R72" i="2"/>
  <c r="R11" i="15" s="1"/>
  <c r="R17" i="15" s="1"/>
  <c r="AI18" i="15"/>
  <c r="AJ34" i="2"/>
  <c r="Y39" i="2"/>
  <c r="X23" i="2"/>
  <c r="W26" i="2"/>
  <c r="Z28" i="2"/>
  <c r="U18" i="2"/>
  <c r="U14" i="2"/>
  <c r="V6" i="2"/>
  <c r="V8" i="2" s="1"/>
  <c r="V9" i="2" s="1"/>
  <c r="S55" i="2" l="1"/>
  <c r="S71" i="2"/>
  <c r="S10" i="15" s="1"/>
  <c r="S16" i="15" s="1"/>
  <c r="Z22" i="15"/>
  <c r="S62" i="2"/>
  <c r="P32" i="15"/>
  <c r="E15" i="9" s="1"/>
  <c r="F23" i="10"/>
  <c r="F32" i="10" s="1"/>
  <c r="R73" i="2"/>
  <c r="R12" i="15" s="1"/>
  <c r="R9" i="15"/>
  <c r="R15" i="15" s="1"/>
  <c r="X30" i="2"/>
  <c r="W31" i="2"/>
  <c r="AJ35" i="2"/>
  <c r="Q15" i="15"/>
  <c r="U53" i="2"/>
  <c r="U52" i="2"/>
  <c r="U54" i="2"/>
  <c r="T59" i="2"/>
  <c r="T60" i="2"/>
  <c r="T61" i="2"/>
  <c r="AJ36" i="2"/>
  <c r="Q24" i="15"/>
  <c r="Q31" i="15"/>
  <c r="Q23" i="15"/>
  <c r="Q30" i="15"/>
  <c r="U48" i="2"/>
  <c r="U49" i="2"/>
  <c r="U47" i="2"/>
  <c r="U59" i="2"/>
  <c r="U60" i="2"/>
  <c r="U61" i="2"/>
  <c r="AI37" i="2"/>
  <c r="AJ29" i="2"/>
  <c r="T49" i="2"/>
  <c r="T48" i="2"/>
  <c r="T47" i="2"/>
  <c r="T55" i="2"/>
  <c r="E8" i="9"/>
  <c r="E17" i="9"/>
  <c r="E16" i="11" s="1"/>
  <c r="P19" i="15"/>
  <c r="F15" i="10"/>
  <c r="F19" i="10" s="1"/>
  <c r="U65" i="2"/>
  <c r="U64" i="2"/>
  <c r="U66" i="2"/>
  <c r="R16" i="15"/>
  <c r="S70" i="2"/>
  <c r="S50" i="2"/>
  <c r="S67" i="2"/>
  <c r="T67" i="2"/>
  <c r="X41" i="2"/>
  <c r="W42" i="2"/>
  <c r="S72" i="2"/>
  <c r="S11" i="15" s="1"/>
  <c r="S17" i="15" s="1"/>
  <c r="AJ18" i="15"/>
  <c r="Z39" i="2"/>
  <c r="AK34" i="2"/>
  <c r="AA28" i="2"/>
  <c r="Y23" i="2"/>
  <c r="X26" i="2"/>
  <c r="V18" i="2"/>
  <c r="V14" i="2"/>
  <c r="V13" i="2"/>
  <c r="V17" i="2"/>
  <c r="W6" i="2"/>
  <c r="W8" i="2" s="1"/>
  <c r="W9" i="2" s="1"/>
  <c r="AJ37" i="2" l="1"/>
  <c r="T72" i="2"/>
  <c r="T11" i="15" s="1"/>
  <c r="T17" i="15" s="1"/>
  <c r="P34" i="15"/>
  <c r="P36" i="15" s="1"/>
  <c r="R19" i="15"/>
  <c r="F34" i="10"/>
  <c r="F37" i="10" s="1"/>
  <c r="F40" i="10" s="1"/>
  <c r="F43" i="10" s="1"/>
  <c r="E9" i="12" s="1"/>
  <c r="AK35" i="2"/>
  <c r="R30" i="15"/>
  <c r="R31" i="15"/>
  <c r="R23" i="15"/>
  <c r="R24" i="15"/>
  <c r="AA22" i="15"/>
  <c r="S9" i="15"/>
  <c r="S73" i="2"/>
  <c r="S12" i="15" s="1"/>
  <c r="AK29" i="2"/>
  <c r="V59" i="2"/>
  <c r="V60" i="2"/>
  <c r="V61" i="2"/>
  <c r="V65" i="2"/>
  <c r="V64" i="2"/>
  <c r="V66" i="2"/>
  <c r="T50" i="2"/>
  <c r="T70" i="2"/>
  <c r="U67" i="2"/>
  <c r="T71" i="2"/>
  <c r="T10" i="15" s="1"/>
  <c r="U70" i="2"/>
  <c r="U50" i="2"/>
  <c r="U55" i="2"/>
  <c r="Y30" i="2"/>
  <c r="X31" i="2"/>
  <c r="E20" i="9"/>
  <c r="E14" i="11"/>
  <c r="E19" i="11" s="1"/>
  <c r="T62" i="2"/>
  <c r="E33" i="11"/>
  <c r="E11" i="9"/>
  <c r="U72" i="2"/>
  <c r="U11" i="15" s="1"/>
  <c r="U17" i="15" s="1"/>
  <c r="AK36" i="2"/>
  <c r="Q32" i="15"/>
  <c r="V48" i="2"/>
  <c r="V49" i="2"/>
  <c r="V47" i="2"/>
  <c r="V53" i="2"/>
  <c r="V52" i="2"/>
  <c r="V54" i="2"/>
  <c r="Y41" i="2"/>
  <c r="X42" i="2"/>
  <c r="U62" i="2"/>
  <c r="U71" i="2"/>
  <c r="U10" i="15" s="1"/>
  <c r="U16" i="15" s="1"/>
  <c r="Q19" i="15"/>
  <c r="AK18" i="15"/>
  <c r="AL34" i="2"/>
  <c r="AA39" i="2"/>
  <c r="Z23" i="2"/>
  <c r="Y26" i="2"/>
  <c r="AB28" i="2"/>
  <c r="W17" i="2"/>
  <c r="W13" i="2"/>
  <c r="W14" i="2"/>
  <c r="W18" i="2"/>
  <c r="X6" i="2"/>
  <c r="X8" i="2" s="1"/>
  <c r="X9" i="2" s="1"/>
  <c r="AK37" i="2" l="1"/>
  <c r="Q34" i="15"/>
  <c r="Q36" i="15" s="1"/>
  <c r="E10" i="11"/>
  <c r="E11" i="11" s="1"/>
  <c r="E21" i="11" s="1"/>
  <c r="F46" i="10"/>
  <c r="V67" i="2"/>
  <c r="V55" i="2"/>
  <c r="AB22" i="15"/>
  <c r="AL35" i="2"/>
  <c r="W48" i="2"/>
  <c r="W49" i="2"/>
  <c r="W47" i="2"/>
  <c r="AL36" i="2"/>
  <c r="V62" i="2"/>
  <c r="V72" i="2"/>
  <c r="V11" i="15" s="1"/>
  <c r="V17" i="15" s="1"/>
  <c r="Z30" i="2"/>
  <c r="Y31" i="2"/>
  <c r="AL29" i="2"/>
  <c r="R32" i="15"/>
  <c r="R34" i="15" s="1"/>
  <c r="R36" i="15" s="1"/>
  <c r="E23" i="9"/>
  <c r="E25" i="9" s="1"/>
  <c r="E12" i="12" s="1"/>
  <c r="E14" i="12" s="1"/>
  <c r="E28" i="12" s="1"/>
  <c r="E31" i="12" s="1"/>
  <c r="S31" i="15"/>
  <c r="S23" i="15"/>
  <c r="S30" i="15"/>
  <c r="S24" i="15"/>
  <c r="T16" i="15"/>
  <c r="W59" i="2"/>
  <c r="W61" i="2"/>
  <c r="W60" i="2"/>
  <c r="T73" i="2"/>
  <c r="T12" i="15" s="1"/>
  <c r="T9" i="15"/>
  <c r="T15" i="15" s="1"/>
  <c r="V70" i="2"/>
  <c r="V50" i="2"/>
  <c r="V71" i="2"/>
  <c r="V10" i="15" s="1"/>
  <c r="V16" i="15" s="1"/>
  <c r="W65" i="2"/>
  <c r="W64" i="2"/>
  <c r="W66" i="2"/>
  <c r="Z41" i="2"/>
  <c r="Y42" i="2"/>
  <c r="S15" i="15"/>
  <c r="W53" i="2"/>
  <c r="W52" i="2"/>
  <c r="W54" i="2"/>
  <c r="U9" i="15"/>
  <c r="U15" i="15" s="1"/>
  <c r="U19" i="15" s="1"/>
  <c r="U73" i="2"/>
  <c r="U12" i="15" s="1"/>
  <c r="AL18" i="15"/>
  <c r="AB39" i="2"/>
  <c r="AM34" i="2"/>
  <c r="AC28" i="2"/>
  <c r="AA23" i="2"/>
  <c r="Z26" i="2"/>
  <c r="X18" i="2"/>
  <c r="X14" i="2"/>
  <c r="X13" i="2"/>
  <c r="X17" i="2"/>
  <c r="Y6" i="2"/>
  <c r="Y8" i="2" s="1"/>
  <c r="Y9" i="2" s="1"/>
  <c r="AL37" i="2" l="1"/>
  <c r="W55" i="2"/>
  <c r="T19" i="15"/>
  <c r="X65" i="2"/>
  <c r="X64" i="2"/>
  <c r="X66" i="2"/>
  <c r="V73" i="2"/>
  <c r="V12" i="15" s="1"/>
  <c r="V9" i="15"/>
  <c r="V15" i="15" s="1"/>
  <c r="V19" i="15" s="1"/>
  <c r="AM35" i="2"/>
  <c r="AM37" i="2" s="1"/>
  <c r="X49" i="2"/>
  <c r="X48" i="2"/>
  <c r="X47" i="2"/>
  <c r="AA41" i="2"/>
  <c r="Z42" i="2"/>
  <c r="T31" i="15"/>
  <c r="T23" i="15"/>
  <c r="T24" i="15"/>
  <c r="T30" i="15"/>
  <c r="S32" i="15"/>
  <c r="AM29" i="2"/>
  <c r="AM36" i="2"/>
  <c r="X53" i="2"/>
  <c r="X52" i="2"/>
  <c r="X54" i="2"/>
  <c r="E36" i="11"/>
  <c r="E37" i="11" s="1"/>
  <c r="E39" i="11" s="1"/>
  <c r="E42" i="11" s="1"/>
  <c r="F29" i="12"/>
  <c r="W67" i="2"/>
  <c r="AC22" i="15"/>
  <c r="G22" i="10"/>
  <c r="W70" i="2"/>
  <c r="W50" i="2"/>
  <c r="X59" i="2"/>
  <c r="X61" i="2"/>
  <c r="X60" i="2"/>
  <c r="U24" i="15"/>
  <c r="U30" i="15"/>
  <c r="U23" i="15"/>
  <c r="U31" i="15"/>
  <c r="S19" i="15"/>
  <c r="W62" i="2"/>
  <c r="AA30" i="2"/>
  <c r="Z31" i="2"/>
  <c r="W72" i="2"/>
  <c r="W11" i="15" s="1"/>
  <c r="W71" i="2"/>
  <c r="W10" i="15" s="1"/>
  <c r="W16" i="15" s="1"/>
  <c r="AM18" i="15"/>
  <c r="AC39" i="2"/>
  <c r="AN34" i="2"/>
  <c r="AD28" i="2"/>
  <c r="AB23" i="2"/>
  <c r="AA26" i="2"/>
  <c r="Y17" i="2"/>
  <c r="Y13" i="2"/>
  <c r="Y14" i="2"/>
  <c r="Y18" i="2"/>
  <c r="Z6" i="2"/>
  <c r="S34" i="15" l="1"/>
  <c r="S36" i="15" s="1"/>
  <c r="X55" i="2"/>
  <c r="AB41" i="2"/>
  <c r="AA42" i="2"/>
  <c r="V24" i="15"/>
  <c r="V31" i="15"/>
  <c r="V23" i="15"/>
  <c r="V30" i="15"/>
  <c r="X70" i="2"/>
  <c r="X50" i="2"/>
  <c r="X71" i="2"/>
  <c r="X10" i="15" s="1"/>
  <c r="X16" i="15" s="1"/>
  <c r="T32" i="15"/>
  <c r="T34" i="15" s="1"/>
  <c r="T36" i="15" s="1"/>
  <c r="X72" i="2"/>
  <c r="X11" i="15" s="1"/>
  <c r="X17" i="15" s="1"/>
  <c r="X67" i="2"/>
  <c r="AD22" i="15"/>
  <c r="X62" i="2"/>
  <c r="AN36" i="2"/>
  <c r="Y65" i="2"/>
  <c r="Y64" i="2"/>
  <c r="Y66" i="2"/>
  <c r="Y53" i="2"/>
  <c r="Y52" i="2"/>
  <c r="Y54" i="2"/>
  <c r="Y59" i="2"/>
  <c r="Y60" i="2"/>
  <c r="Y61" i="2"/>
  <c r="W73" i="2"/>
  <c r="W12" i="15" s="1"/>
  <c r="W9" i="15"/>
  <c r="AN29" i="2"/>
  <c r="AN35" i="2"/>
  <c r="Y48" i="2"/>
  <c r="Y49" i="2"/>
  <c r="Y47" i="2"/>
  <c r="W17" i="15"/>
  <c r="U32" i="15"/>
  <c r="U34" i="15" s="1"/>
  <c r="U36" i="15" s="1"/>
  <c r="AB30" i="2"/>
  <c r="AA31" i="2"/>
  <c r="AN18" i="15"/>
  <c r="AD39" i="2"/>
  <c r="AE28" i="2"/>
  <c r="AC23" i="2"/>
  <c r="AB26" i="2"/>
  <c r="AA6" i="2"/>
  <c r="Z8" i="2"/>
  <c r="Z9" i="2" s="1"/>
  <c r="V32" i="15" l="1"/>
  <c r="V34" i="15" s="1"/>
  <c r="V36" i="15" s="1"/>
  <c r="Y62" i="2"/>
  <c r="Y55" i="2"/>
  <c r="AN37" i="2"/>
  <c r="W15" i="15"/>
  <c r="Y72" i="2"/>
  <c r="Y11" i="15" s="1"/>
  <c r="Y17" i="15" s="1"/>
  <c r="W23" i="15"/>
  <c r="W31" i="15"/>
  <c r="W30" i="15"/>
  <c r="W24" i="15"/>
  <c r="Y67" i="2"/>
  <c r="AE22" i="15"/>
  <c r="X9" i="15"/>
  <c r="X15" i="15" s="1"/>
  <c r="X19" i="15" s="1"/>
  <c r="X73" i="2"/>
  <c r="X12" i="15" s="1"/>
  <c r="AC41" i="2"/>
  <c r="AB42" i="2"/>
  <c r="Y70" i="2"/>
  <c r="Y50" i="2"/>
  <c r="AC30" i="2"/>
  <c r="AB31" i="2"/>
  <c r="Y71" i="2"/>
  <c r="Y10" i="15" s="1"/>
  <c r="Y16" i="15" s="1"/>
  <c r="H18" i="10"/>
  <c r="AE39" i="2"/>
  <c r="AD23" i="2"/>
  <c r="AC26" i="2"/>
  <c r="AF28" i="2"/>
  <c r="Z18" i="2"/>
  <c r="Z13" i="2"/>
  <c r="Z14" i="2"/>
  <c r="Z17" i="2"/>
  <c r="AB6" i="2"/>
  <c r="AB8" i="2" s="1"/>
  <c r="AB9" i="2" s="1"/>
  <c r="AA8" i="2"/>
  <c r="AA9" i="2" s="1"/>
  <c r="Z53" i="2" l="1"/>
  <c r="Z52" i="2"/>
  <c r="Z54" i="2"/>
  <c r="W32" i="15"/>
  <c r="Z59" i="2"/>
  <c r="Z60" i="2"/>
  <c r="Z61" i="2"/>
  <c r="Z49" i="2"/>
  <c r="Z48" i="2"/>
  <c r="Z47" i="2"/>
  <c r="AD41" i="2"/>
  <c r="AC42" i="2"/>
  <c r="AD30" i="2"/>
  <c r="AC31" i="2"/>
  <c r="Z65" i="2"/>
  <c r="Z64" i="2"/>
  <c r="Z66" i="2"/>
  <c r="AF22" i="15"/>
  <c r="X23" i="15"/>
  <c r="X31" i="15"/>
  <c r="X30" i="15"/>
  <c r="X24" i="15"/>
  <c r="Y73" i="2"/>
  <c r="Y12" i="15" s="1"/>
  <c r="Y9" i="15"/>
  <c r="Y15" i="15" s="1"/>
  <c r="Y19" i="15" s="1"/>
  <c r="W19" i="15"/>
  <c r="AF39" i="2"/>
  <c r="AG28" i="2"/>
  <c r="AE23" i="2"/>
  <c r="AD26" i="2"/>
  <c r="AA18" i="2"/>
  <c r="AA17" i="2"/>
  <c r="AA14" i="2"/>
  <c r="AA13" i="2"/>
  <c r="AC6" i="2"/>
  <c r="AC8" i="2" s="1"/>
  <c r="AC9" i="2" s="1"/>
  <c r="Z67" i="2" l="1"/>
  <c r="W34" i="15"/>
  <c r="W36" i="15" s="1"/>
  <c r="AG22" i="15"/>
  <c r="AB18" i="2"/>
  <c r="AC18" i="2" s="1"/>
  <c r="AA65" i="2"/>
  <c r="AA64" i="2"/>
  <c r="AA66" i="2"/>
  <c r="AE41" i="2"/>
  <c r="AD42" i="2"/>
  <c r="Z62" i="2"/>
  <c r="Z70" i="2"/>
  <c r="Z50" i="2"/>
  <c r="Z71" i="2"/>
  <c r="Z10" i="15" s="1"/>
  <c r="Z16" i="15" s="1"/>
  <c r="AB13" i="2"/>
  <c r="AC13" i="2" s="1"/>
  <c r="AA48" i="2"/>
  <c r="AA49" i="2"/>
  <c r="AA47" i="2"/>
  <c r="AB14" i="2"/>
  <c r="AA53" i="2"/>
  <c r="AA52" i="2"/>
  <c r="AA54" i="2"/>
  <c r="X32" i="15"/>
  <c r="X34" i="15" s="1"/>
  <c r="X36" i="15" s="1"/>
  <c r="Z72" i="2"/>
  <c r="Z11" i="15" s="1"/>
  <c r="Z17" i="15" s="1"/>
  <c r="Z55" i="2"/>
  <c r="AB17" i="2"/>
  <c r="AA59" i="2"/>
  <c r="AA60" i="2"/>
  <c r="AA61" i="2"/>
  <c r="Y23" i="15"/>
  <c r="Y31" i="15"/>
  <c r="Y30" i="15"/>
  <c r="Y24" i="15"/>
  <c r="AE30" i="2"/>
  <c r="AD31" i="2"/>
  <c r="AG39" i="2"/>
  <c r="AF23" i="2"/>
  <c r="AE26" i="2"/>
  <c r="AH28" i="2"/>
  <c r="AD6" i="2"/>
  <c r="AA71" i="2" l="1"/>
  <c r="AA10" i="15" s="1"/>
  <c r="AA16" i="15" s="1"/>
  <c r="AB49" i="2"/>
  <c r="AB48" i="2"/>
  <c r="AB47" i="2"/>
  <c r="AA55" i="2"/>
  <c r="AF41" i="2"/>
  <c r="AE42" i="2"/>
  <c r="AC48" i="2"/>
  <c r="AC49" i="2"/>
  <c r="AC47" i="2"/>
  <c r="Y32" i="15"/>
  <c r="Y34" i="15" s="1"/>
  <c r="Y36" i="15" s="1"/>
  <c r="AA62" i="2"/>
  <c r="AB59" i="2"/>
  <c r="AB60" i="2"/>
  <c r="AB61" i="2"/>
  <c r="AB53" i="2"/>
  <c r="AB52" i="2"/>
  <c r="AB54" i="2"/>
  <c r="AA67" i="2"/>
  <c r="AC65" i="2"/>
  <c r="AC64" i="2"/>
  <c r="AC66" i="2"/>
  <c r="Z73" i="2"/>
  <c r="Z12" i="15" s="1"/>
  <c r="Z9" i="15"/>
  <c r="Z15" i="15" s="1"/>
  <c r="AB65" i="2"/>
  <c r="AB64" i="2"/>
  <c r="AB66" i="2"/>
  <c r="AF30" i="2"/>
  <c r="AE31" i="2"/>
  <c r="AC17" i="2"/>
  <c r="AA70" i="2"/>
  <c r="AA50" i="2"/>
  <c r="AC14" i="2"/>
  <c r="AA72" i="2"/>
  <c r="AA11" i="15" s="1"/>
  <c r="AA17" i="15" s="1"/>
  <c r="AH22" i="15"/>
  <c r="AH39" i="2"/>
  <c r="AG23" i="2"/>
  <c r="AF26" i="2"/>
  <c r="AI28" i="2"/>
  <c r="AE6" i="2"/>
  <c r="AD8" i="2"/>
  <c r="AD9" i="2" s="1"/>
  <c r="AC67" i="2" l="1"/>
  <c r="AB67" i="2"/>
  <c r="AB72" i="2"/>
  <c r="AB11" i="15" s="1"/>
  <c r="AB17" i="15" s="1"/>
  <c r="AG30" i="2"/>
  <c r="AF31" i="2"/>
  <c r="AB62" i="2"/>
  <c r="Z30" i="15"/>
  <c r="Z24" i="15"/>
  <c r="Z23" i="15"/>
  <c r="Z31" i="15"/>
  <c r="AC53" i="2"/>
  <c r="AC71" i="2" s="1"/>
  <c r="AC10" i="15" s="1"/>
  <c r="AC52" i="2"/>
  <c r="AC54" i="2"/>
  <c r="AC72" i="2" s="1"/>
  <c r="AC11" i="15" s="1"/>
  <c r="AG41" i="2"/>
  <c r="AF42" i="2"/>
  <c r="AA9" i="15"/>
  <c r="AA15" i="15" s="1"/>
  <c r="AA19" i="15" s="1"/>
  <c r="AA73" i="2"/>
  <c r="AA12" i="15" s="1"/>
  <c r="Z19" i="15"/>
  <c r="AB70" i="2"/>
  <c r="AB50" i="2"/>
  <c r="AI22" i="15"/>
  <c r="AC59" i="2"/>
  <c r="AC60" i="2"/>
  <c r="AC61" i="2"/>
  <c r="AB55" i="2"/>
  <c r="AC50" i="2"/>
  <c r="AB71" i="2"/>
  <c r="AB10" i="15" s="1"/>
  <c r="AI39" i="2"/>
  <c r="AJ28" i="2"/>
  <c r="AG26" i="2"/>
  <c r="AH23" i="2"/>
  <c r="AD18" i="2"/>
  <c r="AD13" i="2"/>
  <c r="AD14" i="2"/>
  <c r="AD17" i="2"/>
  <c r="AF6" i="2"/>
  <c r="AF8" i="2" s="1"/>
  <c r="AF9" i="2" s="1"/>
  <c r="AE8" i="2"/>
  <c r="AE9" i="2" s="1"/>
  <c r="G11" i="10" l="1"/>
  <c r="AC62" i="2"/>
  <c r="AC17" i="15"/>
  <c r="AH41" i="2"/>
  <c r="AG42" i="2"/>
  <c r="AC55" i="2"/>
  <c r="F10" i="9"/>
  <c r="F35" i="11" s="1"/>
  <c r="F19" i="9"/>
  <c r="F18" i="11" s="1"/>
  <c r="G17" i="10"/>
  <c r="AA31" i="15"/>
  <c r="AA30" i="15"/>
  <c r="AA24" i="15"/>
  <c r="AA23" i="15"/>
  <c r="AC70" i="2"/>
  <c r="AJ22" i="15"/>
  <c r="AD59" i="2"/>
  <c r="AD61" i="2"/>
  <c r="AD60" i="2"/>
  <c r="AC16" i="15"/>
  <c r="AD53" i="2"/>
  <c r="AD52" i="2"/>
  <c r="AD54" i="2"/>
  <c r="AB16" i="15"/>
  <c r="G10" i="10"/>
  <c r="AD65" i="2"/>
  <c r="AD64" i="2"/>
  <c r="AD66" i="2"/>
  <c r="Z32" i="15"/>
  <c r="Z34" i="15" s="1"/>
  <c r="Z36" i="15" s="1"/>
  <c r="AH30" i="2"/>
  <c r="AG31" i="2"/>
  <c r="AD48" i="2"/>
  <c r="AD49" i="2"/>
  <c r="AD47" i="2"/>
  <c r="AB73" i="2"/>
  <c r="AB12" i="15" s="1"/>
  <c r="AB9" i="15"/>
  <c r="AE17" i="2"/>
  <c r="AJ39" i="2"/>
  <c r="AK28" i="2"/>
  <c r="AI23" i="2"/>
  <c r="AH26" i="2"/>
  <c r="AE18" i="2"/>
  <c r="AE14" i="2"/>
  <c r="AE13" i="2"/>
  <c r="AG6" i="2"/>
  <c r="AG8" i="2" s="1"/>
  <c r="AG9" i="2" s="1"/>
  <c r="AD71" i="2" l="1"/>
  <c r="AD10" i="15" s="1"/>
  <c r="AD16" i="15" s="1"/>
  <c r="AA32" i="15"/>
  <c r="AA34" i="15" s="1"/>
  <c r="AA36" i="15" s="1"/>
  <c r="AF13" i="2"/>
  <c r="AG13" i="2" s="1"/>
  <c r="AE48" i="2"/>
  <c r="AE49" i="2"/>
  <c r="AE47" i="2"/>
  <c r="AD70" i="2"/>
  <c r="AD50" i="2"/>
  <c r="AE59" i="2"/>
  <c r="AE60" i="2"/>
  <c r="AE61" i="2"/>
  <c r="F9" i="9"/>
  <c r="F34" i="11" s="1"/>
  <c r="F18" i="9"/>
  <c r="F17" i="11" s="1"/>
  <c r="G16" i="10"/>
  <c r="AD62" i="2"/>
  <c r="AI41" i="2"/>
  <c r="AH42" i="2"/>
  <c r="AF17" i="2"/>
  <c r="AG17" i="2" s="1"/>
  <c r="AI30" i="2"/>
  <c r="AH31" i="2"/>
  <c r="AK22" i="15"/>
  <c r="AD67" i="2"/>
  <c r="AF14" i="2"/>
  <c r="AG14" i="2" s="1"/>
  <c r="AE53" i="2"/>
  <c r="AE52" i="2"/>
  <c r="AE54" i="2"/>
  <c r="AF18" i="2"/>
  <c r="AE65" i="2"/>
  <c r="AE64" i="2"/>
  <c r="AE66" i="2"/>
  <c r="AB15" i="15"/>
  <c r="G9" i="10"/>
  <c r="G12" i="10" s="1"/>
  <c r="AB23" i="15"/>
  <c r="AB31" i="15"/>
  <c r="G31" i="10" s="1"/>
  <c r="AB30" i="15"/>
  <c r="G30" i="10" s="1"/>
  <c r="AB24" i="15"/>
  <c r="G24" i="10" s="1"/>
  <c r="AD55" i="2"/>
  <c r="AD72" i="2"/>
  <c r="AD11" i="15" s="1"/>
  <c r="AC9" i="15"/>
  <c r="AC73" i="2"/>
  <c r="AC12" i="15" s="1"/>
  <c r="AK39" i="2"/>
  <c r="AL28" i="2"/>
  <c r="AJ23" i="2"/>
  <c r="AI26" i="2"/>
  <c r="AH6" i="2"/>
  <c r="AH8" i="2" s="1"/>
  <c r="AH9" i="2" s="1"/>
  <c r="AE62" i="2" l="1"/>
  <c r="AF65" i="2"/>
  <c r="AF64" i="2"/>
  <c r="AF66" i="2"/>
  <c r="AJ41" i="2"/>
  <c r="AI42" i="2"/>
  <c r="AB32" i="15"/>
  <c r="F15" i="9" s="1"/>
  <c r="G23" i="10"/>
  <c r="G32" i="10" s="1"/>
  <c r="AE55" i="2"/>
  <c r="AL22" i="15"/>
  <c r="AG53" i="2"/>
  <c r="AG52" i="2"/>
  <c r="AG54" i="2"/>
  <c r="AD17" i="15"/>
  <c r="AD73" i="2"/>
  <c r="AD12" i="15" s="1"/>
  <c r="AD9" i="15"/>
  <c r="AD15" i="15" s="1"/>
  <c r="F17" i="9"/>
  <c r="F16" i="11" s="1"/>
  <c r="F8" i="9"/>
  <c r="AB19" i="15"/>
  <c r="G15" i="10"/>
  <c r="G19" i="10" s="1"/>
  <c r="AF53" i="2"/>
  <c r="AF52" i="2"/>
  <c r="AF54" i="2"/>
  <c r="AE70" i="2"/>
  <c r="AE50" i="2"/>
  <c r="AC23" i="15"/>
  <c r="AC30" i="15"/>
  <c r="AC24" i="15"/>
  <c r="AC31" i="15"/>
  <c r="AJ30" i="2"/>
  <c r="AI31" i="2"/>
  <c r="AE72" i="2"/>
  <c r="AE11" i="15" s="1"/>
  <c r="AE17" i="15" s="1"/>
  <c r="AC15" i="15"/>
  <c r="AG59" i="2"/>
  <c r="AG60" i="2"/>
  <c r="AG61" i="2"/>
  <c r="AE67" i="2"/>
  <c r="AF59" i="2"/>
  <c r="AF60" i="2"/>
  <c r="AF61" i="2"/>
  <c r="AE71" i="2"/>
  <c r="AE10" i="15" s="1"/>
  <c r="AG48" i="2"/>
  <c r="AG49" i="2"/>
  <c r="AG47" i="2"/>
  <c r="AG18" i="2"/>
  <c r="AF49" i="2"/>
  <c r="AF48" i="2"/>
  <c r="AF47" i="2"/>
  <c r="AL39" i="2"/>
  <c r="AM28" i="2"/>
  <c r="AJ26" i="2"/>
  <c r="AK23" i="2"/>
  <c r="AH14" i="2"/>
  <c r="AH17" i="2"/>
  <c r="AH13" i="2"/>
  <c r="AI6" i="2"/>
  <c r="AI8" i="2" s="1"/>
  <c r="AI9" i="2" s="1"/>
  <c r="AF71" i="2" l="1"/>
  <c r="AF10" i="15" s="1"/>
  <c r="AF16" i="15" s="1"/>
  <c r="AF55" i="2"/>
  <c r="G34" i="10"/>
  <c r="G37" i="10" s="1"/>
  <c r="G40" i="10" s="1"/>
  <c r="G43" i="10" s="1"/>
  <c r="G46" i="10" s="1"/>
  <c r="AB34" i="15"/>
  <c r="AB36" i="15" s="1"/>
  <c r="AG62" i="2"/>
  <c r="AH59" i="2"/>
  <c r="AH61" i="2"/>
  <c r="AH60" i="2"/>
  <c r="F14" i="11"/>
  <c r="F19" i="11" s="1"/>
  <c r="F20" i="9"/>
  <c r="AH53" i="2"/>
  <c r="AH52" i="2"/>
  <c r="AH54" i="2"/>
  <c r="AC32" i="15"/>
  <c r="F33" i="11"/>
  <c r="F11" i="9"/>
  <c r="AE16" i="15"/>
  <c r="AG55" i="2"/>
  <c r="AF70" i="2"/>
  <c r="AF50" i="2"/>
  <c r="AC19" i="15"/>
  <c r="AF62" i="2"/>
  <c r="AG65" i="2"/>
  <c r="AG71" i="2" s="1"/>
  <c r="AG10" i="15" s="1"/>
  <c r="AG16" i="15" s="1"/>
  <c r="AG64" i="2"/>
  <c r="AG70" i="2" s="1"/>
  <c r="AG66" i="2"/>
  <c r="AG72" i="2" s="1"/>
  <c r="AG11" i="15" s="1"/>
  <c r="AG17" i="15" s="1"/>
  <c r="AE73" i="2"/>
  <c r="AE12" i="15" s="1"/>
  <c r="AE9" i="15"/>
  <c r="AD19" i="15"/>
  <c r="AK41" i="2"/>
  <c r="AJ42" i="2"/>
  <c r="AG50" i="2"/>
  <c r="AK30" i="2"/>
  <c r="AJ31" i="2"/>
  <c r="AD31" i="15"/>
  <c r="AD30" i="15"/>
  <c r="AD24" i="15"/>
  <c r="AD23" i="15"/>
  <c r="AF72" i="2"/>
  <c r="AF11" i="15" s="1"/>
  <c r="AF17" i="15" s="1"/>
  <c r="AH49" i="2"/>
  <c r="AH48" i="2"/>
  <c r="AH47" i="2"/>
  <c r="AM22" i="15"/>
  <c r="AF67" i="2"/>
  <c r="AH18" i="2"/>
  <c r="AI18" i="2" s="1"/>
  <c r="AM39" i="2"/>
  <c r="AN28" i="2"/>
  <c r="AK26" i="2"/>
  <c r="AL23" i="2"/>
  <c r="AI17" i="2"/>
  <c r="AI13" i="2"/>
  <c r="AI14" i="2"/>
  <c r="AJ6" i="2"/>
  <c r="AJ8" i="2" s="1"/>
  <c r="AJ9" i="2" s="1"/>
  <c r="F10" i="11" l="1"/>
  <c r="F11" i="11" s="1"/>
  <c r="F21" i="11" s="1"/>
  <c r="F9" i="12"/>
  <c r="AH62" i="2"/>
  <c r="AD32" i="15"/>
  <c r="AD34" i="15" s="1"/>
  <c r="AD36" i="15" s="1"/>
  <c r="AC34" i="15"/>
  <c r="AC36" i="15" s="1"/>
  <c r="AI65" i="2"/>
  <c r="AI64" i="2"/>
  <c r="AI66" i="2"/>
  <c r="AL30" i="2"/>
  <c r="AK31" i="2"/>
  <c r="AE15" i="15"/>
  <c r="AE23" i="15"/>
  <c r="AE31" i="15"/>
  <c r="AE30" i="15"/>
  <c r="AE24" i="15"/>
  <c r="AG73" i="2"/>
  <c r="AG12" i="15" s="1"/>
  <c r="AG9" i="15"/>
  <c r="AG15" i="15" s="1"/>
  <c r="AG19" i="15" s="1"/>
  <c r="AG67" i="2"/>
  <c r="AI48" i="2"/>
  <c r="AI49" i="2"/>
  <c r="AI47" i="2"/>
  <c r="AF9" i="15"/>
  <c r="AF15" i="15" s="1"/>
  <c r="AF19" i="15" s="1"/>
  <c r="AF73" i="2"/>
  <c r="AF12" i="15" s="1"/>
  <c r="AH55" i="2"/>
  <c r="AI53" i="2"/>
  <c r="AI52" i="2"/>
  <c r="AI54" i="2"/>
  <c r="AI59" i="2"/>
  <c r="AI60" i="2"/>
  <c r="AI61" i="2"/>
  <c r="AH50" i="2"/>
  <c r="AL41" i="2"/>
  <c r="AK42" i="2"/>
  <c r="F23" i="9"/>
  <c r="F25" i="9" s="1"/>
  <c r="F12" i="12" s="1"/>
  <c r="AN22" i="15"/>
  <c r="AH65" i="2"/>
  <c r="AH71" i="2" s="1"/>
  <c r="AH10" i="15" s="1"/>
  <c r="AH64" i="2"/>
  <c r="AH70" i="2" s="1"/>
  <c r="AH66" i="2"/>
  <c r="AH72" i="2" s="1"/>
  <c r="AH11" i="15" s="1"/>
  <c r="AH17" i="15" s="1"/>
  <c r="AN39" i="2"/>
  <c r="AL26" i="2"/>
  <c r="AM23" i="2"/>
  <c r="AJ13" i="2"/>
  <c r="AJ14" i="2"/>
  <c r="AJ17" i="2"/>
  <c r="AJ18" i="2"/>
  <c r="AK6" i="2"/>
  <c r="F14" i="12" l="1"/>
  <c r="F28" i="12" s="1"/>
  <c r="F31" i="12" s="1"/>
  <c r="F36" i="11" s="1"/>
  <c r="F37" i="11" s="1"/>
  <c r="F39" i="11" s="1"/>
  <c r="F42" i="11" s="1"/>
  <c r="AH16" i="15"/>
  <c r="AM30" i="2"/>
  <c r="AL31" i="2"/>
  <c r="AE32" i="15"/>
  <c r="AH73" i="2"/>
  <c r="AH12" i="15" s="1"/>
  <c r="AH9" i="15"/>
  <c r="AH15" i="15" s="1"/>
  <c r="AI62" i="2"/>
  <c r="AJ49" i="2"/>
  <c r="AJ48" i="2"/>
  <c r="AJ47" i="2"/>
  <c r="AM41" i="2"/>
  <c r="AL42" i="2"/>
  <c r="AI55" i="2"/>
  <c r="AJ65" i="2"/>
  <c r="AJ64" i="2"/>
  <c r="AJ66" i="2"/>
  <c r="AH67" i="2"/>
  <c r="AF23" i="15"/>
  <c r="AF31" i="15"/>
  <c r="AF30" i="15"/>
  <c r="AF24" i="15"/>
  <c r="H22" i="10"/>
  <c r="AG23" i="15"/>
  <c r="AG31" i="15"/>
  <c r="AG30" i="15"/>
  <c r="AG24" i="15"/>
  <c r="AI71" i="2"/>
  <c r="AI10" i="15" s="1"/>
  <c r="AI16" i="15" s="1"/>
  <c r="AJ59" i="2"/>
  <c r="AJ60" i="2"/>
  <c r="AJ61" i="2"/>
  <c r="AJ53" i="2"/>
  <c r="AJ52" i="2"/>
  <c r="AJ54" i="2"/>
  <c r="AI70" i="2"/>
  <c r="AI50" i="2"/>
  <c r="AI72" i="2"/>
  <c r="AI11" i="15" s="1"/>
  <c r="AI17" i="15" s="1"/>
  <c r="AE19" i="15"/>
  <c r="AE34" i="15" s="1"/>
  <c r="AE36" i="15" s="1"/>
  <c r="AI67" i="2"/>
  <c r="AM26" i="2"/>
  <c r="AN23" i="2"/>
  <c r="AL6" i="2"/>
  <c r="AK8" i="2"/>
  <c r="AK9" i="2" s="1"/>
  <c r="G29" i="12" l="1"/>
  <c r="AJ55" i="2"/>
  <c r="AJ67" i="2"/>
  <c r="AJ71" i="2"/>
  <c r="AJ10" i="15" s="1"/>
  <c r="AJ16" i="15" s="1"/>
  <c r="AJ72" i="2"/>
  <c r="AJ11" i="15" s="1"/>
  <c r="AJ17" i="15" s="1"/>
  <c r="AH19" i="15"/>
  <c r="AN30" i="2"/>
  <c r="AM31" i="2"/>
  <c r="AI9" i="15"/>
  <c r="AI73" i="2"/>
  <c r="AI12" i="15" s="1"/>
  <c r="AG32" i="15"/>
  <c r="AG34" i="15" s="1"/>
  <c r="AG36" i="15" s="1"/>
  <c r="AH30" i="15"/>
  <c r="AH24" i="15"/>
  <c r="AH23" i="15"/>
  <c r="AH31" i="15"/>
  <c r="AF32" i="15"/>
  <c r="AF34" i="15" s="1"/>
  <c r="AF36" i="15" s="1"/>
  <c r="AN41" i="2"/>
  <c r="AM42" i="2"/>
  <c r="AJ62" i="2"/>
  <c r="AN26" i="2"/>
  <c r="AJ50" i="2"/>
  <c r="AJ70" i="2"/>
  <c r="AK13" i="2"/>
  <c r="AK17" i="2"/>
  <c r="AK18" i="2"/>
  <c r="AK14" i="2"/>
  <c r="AM6" i="2"/>
  <c r="AL8" i="2"/>
  <c r="AL9" i="2" s="1"/>
  <c r="AI31" i="15" l="1"/>
  <c r="AI30" i="15"/>
  <c r="AI24" i="15"/>
  <c r="AI23" i="15"/>
  <c r="AI15" i="15"/>
  <c r="AK65" i="2"/>
  <c r="AK64" i="2"/>
  <c r="AK66" i="2"/>
  <c r="AJ73" i="2"/>
  <c r="AJ12" i="15" s="1"/>
  <c r="AJ9" i="15"/>
  <c r="AJ15" i="15" s="1"/>
  <c r="AJ19" i="15" s="1"/>
  <c r="AN42" i="2"/>
  <c r="AH32" i="15"/>
  <c r="AH34" i="15" s="1"/>
  <c r="AH36" i="15" s="1"/>
  <c r="AN31" i="2"/>
  <c r="AK53" i="2"/>
  <c r="AK52" i="2"/>
  <c r="AK54" i="2"/>
  <c r="AK59" i="2"/>
  <c r="AK61" i="2"/>
  <c r="AK60" i="2"/>
  <c r="AK49" i="2"/>
  <c r="AK48" i="2"/>
  <c r="AK47" i="2"/>
  <c r="AL17" i="2"/>
  <c r="AL14" i="2"/>
  <c r="AL18" i="2"/>
  <c r="AL13" i="2"/>
  <c r="AN6" i="2"/>
  <c r="AN8" i="2" s="1"/>
  <c r="AN9" i="2" s="1"/>
  <c r="AM8" i="2"/>
  <c r="AM9" i="2" s="1"/>
  <c r="AK72" i="2" l="1"/>
  <c r="AK11" i="15" s="1"/>
  <c r="AK17" i="15" s="1"/>
  <c r="AI32" i="15"/>
  <c r="AK62" i="2"/>
  <c r="AL65" i="2"/>
  <c r="AL64" i="2"/>
  <c r="AL66" i="2"/>
  <c r="AL59" i="2"/>
  <c r="AL61" i="2"/>
  <c r="AL60" i="2"/>
  <c r="AL48" i="2"/>
  <c r="AL49" i="2"/>
  <c r="AL47" i="2"/>
  <c r="AI19" i="15"/>
  <c r="AK55" i="2"/>
  <c r="AJ23" i="15"/>
  <c r="AJ31" i="15"/>
  <c r="AJ30" i="15"/>
  <c r="AJ24" i="15"/>
  <c r="AK70" i="2"/>
  <c r="AK50" i="2"/>
  <c r="AL53" i="2"/>
  <c r="AL52" i="2"/>
  <c r="AL54" i="2"/>
  <c r="AK71" i="2"/>
  <c r="AK10" i="15" s="1"/>
  <c r="AK16" i="15" s="1"/>
  <c r="AK67" i="2"/>
  <c r="AM18" i="2"/>
  <c r="AM17" i="2"/>
  <c r="AM13" i="2"/>
  <c r="AM14" i="2"/>
  <c r="AI34" i="15" l="1"/>
  <c r="AI36" i="15" s="1"/>
  <c r="AL67" i="2"/>
  <c r="AJ32" i="15"/>
  <c r="AJ34" i="15" s="1"/>
  <c r="AJ36" i="15" s="1"/>
  <c r="AL55" i="2"/>
  <c r="AL62" i="2"/>
  <c r="AN13" i="2"/>
  <c r="AM48" i="2"/>
  <c r="AM49" i="2"/>
  <c r="AM47" i="2"/>
  <c r="AN14" i="2"/>
  <c r="AM53" i="2"/>
  <c r="AM52" i="2"/>
  <c r="AM54" i="2"/>
  <c r="AN17" i="2"/>
  <c r="AM59" i="2"/>
  <c r="AM61" i="2"/>
  <c r="AM60" i="2"/>
  <c r="AK9" i="15"/>
  <c r="AK73" i="2"/>
  <c r="AK12" i="15" s="1"/>
  <c r="AL70" i="2"/>
  <c r="AL50" i="2"/>
  <c r="AN18" i="2"/>
  <c r="AM65" i="2"/>
  <c r="AM64" i="2"/>
  <c r="AM66" i="2"/>
  <c r="AL72" i="2"/>
  <c r="AL11" i="15" s="1"/>
  <c r="AL17" i="15" s="1"/>
  <c r="AL71" i="2"/>
  <c r="AL10" i="15" s="1"/>
  <c r="AL16" i="15" s="1"/>
  <c r="AK23" i="15" l="1"/>
  <c r="AK30" i="15"/>
  <c r="AK24" i="15"/>
  <c r="AK31" i="15"/>
  <c r="AK15" i="15"/>
  <c r="AN53" i="2"/>
  <c r="AN52" i="2"/>
  <c r="AN54" i="2"/>
  <c r="AM70" i="2"/>
  <c r="AM50" i="2"/>
  <c r="AM67" i="2"/>
  <c r="AM72" i="2"/>
  <c r="AM11" i="15" s="1"/>
  <c r="AM17" i="15" s="1"/>
  <c r="AM62" i="2"/>
  <c r="AM71" i="2"/>
  <c r="AM10" i="15" s="1"/>
  <c r="AM16" i="15" s="1"/>
  <c r="AN65" i="2"/>
  <c r="AN64" i="2"/>
  <c r="AN66" i="2"/>
  <c r="AN59" i="2"/>
  <c r="AN61" i="2"/>
  <c r="AN60" i="2"/>
  <c r="AN49" i="2"/>
  <c r="AN48" i="2"/>
  <c r="AN47" i="2"/>
  <c r="AL73" i="2"/>
  <c r="AL12" i="15" s="1"/>
  <c r="AL9" i="15"/>
  <c r="AL15" i="15" s="1"/>
  <c r="AL19" i="15" s="1"/>
  <c r="AM55" i="2"/>
  <c r="AN72" i="2" l="1"/>
  <c r="AN11" i="15" s="1"/>
  <c r="AN17" i="15" s="1"/>
  <c r="AN55" i="2"/>
  <c r="AK32" i="15"/>
  <c r="AK19" i="15"/>
  <c r="AN62" i="2"/>
  <c r="AM73" i="2"/>
  <c r="AM12" i="15" s="1"/>
  <c r="AM9" i="15"/>
  <c r="AM15" i="15" s="1"/>
  <c r="AM19" i="15" s="1"/>
  <c r="AN70" i="2"/>
  <c r="AN50" i="2"/>
  <c r="AN71" i="2"/>
  <c r="AN10" i="15" s="1"/>
  <c r="AL31" i="15"/>
  <c r="AL30" i="15"/>
  <c r="AL24" i="15"/>
  <c r="AL23" i="15"/>
  <c r="AN67" i="2"/>
  <c r="AL32" i="15" l="1"/>
  <c r="AL34" i="15" s="1"/>
  <c r="AL36" i="15" s="1"/>
  <c r="AK34" i="15"/>
  <c r="AK36" i="15" s="1"/>
  <c r="H11" i="10"/>
  <c r="AM23" i="15"/>
  <c r="AM31" i="15"/>
  <c r="AM30" i="15"/>
  <c r="AM24" i="15"/>
  <c r="AN9" i="15"/>
  <c r="AN73" i="2"/>
  <c r="AN12" i="15" s="1"/>
  <c r="AN16" i="15"/>
  <c r="H10" i="10"/>
  <c r="G19" i="9"/>
  <c r="G18" i="11" s="1"/>
  <c r="G10" i="9"/>
  <c r="G35" i="11" s="1"/>
  <c r="H17" i="10"/>
  <c r="AN23" i="15" l="1"/>
  <c r="AN31" i="15"/>
  <c r="H31" i="10" s="1"/>
  <c r="AN30" i="15"/>
  <c r="H30" i="10" s="1"/>
  <c r="AN24" i="15"/>
  <c r="H24" i="10" s="1"/>
  <c r="AM32" i="15"/>
  <c r="AM34" i="15" s="1"/>
  <c r="AM36" i="15" s="1"/>
  <c r="G9" i="9"/>
  <c r="G34" i="11" s="1"/>
  <c r="G18" i="9"/>
  <c r="G17" i="11" s="1"/>
  <c r="H16" i="10"/>
  <c r="AN15" i="15"/>
  <c r="H9" i="10"/>
  <c r="H12" i="10" s="1"/>
  <c r="G17" i="9" l="1"/>
  <c r="G16" i="11" s="1"/>
  <c r="G8" i="9"/>
  <c r="AN19" i="15"/>
  <c r="H15" i="10"/>
  <c r="H19" i="10" s="1"/>
  <c r="AN32" i="15"/>
  <c r="G15" i="9" s="1"/>
  <c r="H23" i="10"/>
  <c r="H32" i="10" s="1"/>
  <c r="H34" i="10" l="1"/>
  <c r="H37" i="10" s="1"/>
  <c r="H40" i="10" s="1"/>
  <c r="H43" i="10" s="1"/>
  <c r="G9" i="12" s="1"/>
  <c r="G20" i="9"/>
  <c r="G14" i="11"/>
  <c r="G19" i="11" s="1"/>
  <c r="AN34" i="15"/>
  <c r="AN36" i="15" s="1"/>
  <c r="G33" i="11"/>
  <c r="G11" i="9"/>
  <c r="G10" i="11" l="1"/>
  <c r="G11" i="11" s="1"/>
  <c r="H46" i="10"/>
  <c r="G23" i="9"/>
  <c r="G25" i="9" s="1"/>
  <c r="G12" i="12" s="1"/>
  <c r="G14" i="12" s="1"/>
  <c r="G28" i="12" s="1"/>
  <c r="G31" i="12" s="1"/>
  <c r="G36" i="11" s="1"/>
  <c r="G37" i="11" s="1"/>
  <c r="G39" i="11" s="1"/>
  <c r="G21" i="11"/>
  <c r="G42" i="11" l="1"/>
</calcChain>
</file>

<file path=xl/sharedStrings.xml><?xml version="1.0" encoding="utf-8"?>
<sst xmlns="http://schemas.openxmlformats.org/spreadsheetml/2006/main" count="333" uniqueCount="193">
  <si>
    <t>All Values in:</t>
  </si>
  <si>
    <t>Start Date:</t>
  </si>
  <si>
    <t>Construction Period:</t>
  </si>
  <si>
    <t>3 Months</t>
  </si>
  <si>
    <t>End Date</t>
  </si>
  <si>
    <t>End Date:</t>
  </si>
  <si>
    <t xml:space="preserve"> </t>
  </si>
  <si>
    <t>Month 0</t>
  </si>
  <si>
    <t>Operating Days</t>
  </si>
  <si>
    <t>No. of Weekdays in a Month</t>
  </si>
  <si>
    <t>No. of Weekends in a Month</t>
  </si>
  <si>
    <t>No. of Guests</t>
  </si>
  <si>
    <t>Lunch</t>
  </si>
  <si>
    <t>Dinner</t>
  </si>
  <si>
    <t>Weekdays</t>
  </si>
  <si>
    <t>Weekends</t>
  </si>
  <si>
    <t>Restaurant Construction - 3 Months</t>
  </si>
  <si>
    <t>Start Date</t>
  </si>
  <si>
    <t>Construction Period</t>
  </si>
  <si>
    <t>Particulars</t>
  </si>
  <si>
    <t>APC</t>
  </si>
  <si>
    <t>Alcoholic Beverages</t>
  </si>
  <si>
    <t>Non-Alcoholic Bevarages</t>
  </si>
  <si>
    <t>Food</t>
  </si>
  <si>
    <t>Y-O-Y Growth Price Rate</t>
  </si>
  <si>
    <t>Occupancy</t>
  </si>
  <si>
    <t>No. of Covers Available</t>
  </si>
  <si>
    <t>No. of Rounds Available</t>
  </si>
  <si>
    <t>No. of Covers Occupied/Round</t>
  </si>
  <si>
    <t>MoM Growth</t>
  </si>
  <si>
    <t>Max Occupancy/Round</t>
  </si>
  <si>
    <t>Revenue</t>
  </si>
  <si>
    <t>Direct Expenses</t>
  </si>
  <si>
    <t>Alcoholic Beverage Cost (% of Revenue</t>
  </si>
  <si>
    <t>Non Alcoholic Beverage Cost (% of Revenue)</t>
  </si>
  <si>
    <t>Food Cost (% of Revenue)</t>
  </si>
  <si>
    <t>Salary</t>
  </si>
  <si>
    <t>Members Team</t>
  </si>
  <si>
    <t>No. of Employees</t>
  </si>
  <si>
    <t>Salary/M</t>
  </si>
  <si>
    <t>Receptionist</t>
  </si>
  <si>
    <t>Restaurants Mnager</t>
  </si>
  <si>
    <t>Waiters</t>
  </si>
  <si>
    <t>Head Chef</t>
  </si>
  <si>
    <t>Chefs</t>
  </si>
  <si>
    <t>Ass Chef</t>
  </si>
  <si>
    <t>Valet Parking</t>
  </si>
  <si>
    <t>Cleaners</t>
  </si>
  <si>
    <t>Bartender</t>
  </si>
  <si>
    <t>Total Sal Cost</t>
  </si>
  <si>
    <t>Staff Sal will Increase Y-o-Y basis</t>
  </si>
  <si>
    <t>Indirect Expenses</t>
  </si>
  <si>
    <t>Sal/M</t>
  </si>
  <si>
    <t>HR Manager</t>
  </si>
  <si>
    <t>Ass Manager</t>
  </si>
  <si>
    <t>Security</t>
  </si>
  <si>
    <t>Purchase Manager</t>
  </si>
  <si>
    <t>Accountant</t>
  </si>
  <si>
    <t>Others</t>
  </si>
  <si>
    <t>Total</t>
  </si>
  <si>
    <t>Rent (% of Revenue)</t>
  </si>
  <si>
    <t>Water Cost/M</t>
  </si>
  <si>
    <t>Maintenance/M</t>
  </si>
  <si>
    <t>Marketing Cost/M</t>
  </si>
  <si>
    <t>Phone &amp; Internet/M</t>
  </si>
  <si>
    <t>Housekeeping &amp; Consumables (% of Revenue)</t>
  </si>
  <si>
    <t>Payment Settlement Charges (% of Revenue)</t>
  </si>
  <si>
    <t>No. of tables occupied opting for Card Payment</t>
  </si>
  <si>
    <t>Electricity (Based on Area $/sq. Ft)</t>
  </si>
  <si>
    <t>Indirect Expenses to Increase Y-o-Y basis</t>
  </si>
  <si>
    <t>Area Specifications</t>
  </si>
  <si>
    <t>Carpet Area Required</t>
  </si>
  <si>
    <t>Conversion Table</t>
  </si>
  <si>
    <t>Super Built Up area to be rented (Sq.Ft)</t>
  </si>
  <si>
    <t xml:space="preserve">Serving Area (% of Carpet Area) </t>
  </si>
  <si>
    <t xml:space="preserve">Serving Area </t>
  </si>
  <si>
    <t>Kitchen Area</t>
  </si>
  <si>
    <t>Area per Cover (Sq.Ft)</t>
  </si>
  <si>
    <t>Covers</t>
  </si>
  <si>
    <t>Sitting per Table</t>
  </si>
  <si>
    <t>No. Tables</t>
  </si>
  <si>
    <t>Capital Expenditure</t>
  </si>
  <si>
    <t>Equipments</t>
  </si>
  <si>
    <t>Rate/Sq.Ft</t>
  </si>
  <si>
    <t>Refrigeration</t>
  </si>
  <si>
    <t>Furniture</t>
  </si>
  <si>
    <t>Restaurants Décor</t>
  </si>
  <si>
    <t>Working Capital</t>
  </si>
  <si>
    <t>Initial Working Capital</t>
  </si>
  <si>
    <t>Inventory</t>
  </si>
  <si>
    <t>Non-Alcoholic Beverages</t>
  </si>
  <si>
    <t>Creditor for R/Mtrls</t>
  </si>
  <si>
    <t>Creditor for Expenses</t>
  </si>
  <si>
    <t>Depreciation</t>
  </si>
  <si>
    <t>Furniture &amp; Fixtures, Restaurants Décor</t>
  </si>
  <si>
    <t>Capital Structure</t>
  </si>
  <si>
    <t>Equity</t>
  </si>
  <si>
    <t>Debt</t>
  </si>
  <si>
    <t>Cash Credit limit will be available if required</t>
  </si>
  <si>
    <t>Rate of Interest on Cash Credit limit</t>
  </si>
  <si>
    <t>Tax Rate</t>
  </si>
  <si>
    <t>Revenue Per Month</t>
  </si>
  <si>
    <t>Total Revenue for the Month</t>
  </si>
  <si>
    <t>Total Monthly Revenue</t>
  </si>
  <si>
    <t>End of Sheet</t>
  </si>
  <si>
    <t>Less: Direct Expenses</t>
  </si>
  <si>
    <t>Total Direct Expenses</t>
  </si>
  <si>
    <t>Staff Salary</t>
  </si>
  <si>
    <t>Less: Indirect Expenses</t>
  </si>
  <si>
    <t>Other Staff Salary</t>
  </si>
  <si>
    <t>Royalty to Brand (% of Revenue)</t>
  </si>
  <si>
    <t>Total Indirect Expenses</t>
  </si>
  <si>
    <t>EBITDA</t>
  </si>
  <si>
    <t>EBITDA Margin</t>
  </si>
  <si>
    <t>Fixed Assets</t>
  </si>
  <si>
    <t>Kitchen Eq. &amp; Cutlery</t>
  </si>
  <si>
    <t>Rent Deposits</t>
  </si>
  <si>
    <t>Total Fixed Assets</t>
  </si>
  <si>
    <t>Add:</t>
  </si>
  <si>
    <t>Rent Deposit</t>
  </si>
  <si>
    <t>Total Funds Required</t>
  </si>
  <si>
    <t>Sources of Capital</t>
  </si>
  <si>
    <t>Total Funds Contributed</t>
  </si>
  <si>
    <t>Opening Bal</t>
  </si>
  <si>
    <t>Add: Purchases</t>
  </si>
  <si>
    <t>Less: Sales</t>
  </si>
  <si>
    <t>Less: Depreciation</t>
  </si>
  <si>
    <t>Closing Bal</t>
  </si>
  <si>
    <t>Construction End Date</t>
  </si>
  <si>
    <t>Current Assets</t>
  </si>
  <si>
    <t>Current Liabilites</t>
  </si>
  <si>
    <t>Non-alcoholic Beverages</t>
  </si>
  <si>
    <t>Changes in Working Capital</t>
  </si>
  <si>
    <t>Creditor for Expenses:</t>
  </si>
  <si>
    <t>EBIT</t>
  </si>
  <si>
    <t>Less: Debt Interest</t>
  </si>
  <si>
    <t>EBT</t>
  </si>
  <si>
    <t>Less: Taxes</t>
  </si>
  <si>
    <t>Transfer to Reserves</t>
  </si>
  <si>
    <t>Net Profit Margin</t>
  </si>
  <si>
    <t>EAT/Net Profit</t>
  </si>
  <si>
    <t>Operating Activities</t>
  </si>
  <si>
    <t>Investing Activities</t>
  </si>
  <si>
    <t>Financing Activities</t>
  </si>
  <si>
    <t>Add: Non Cash Items:</t>
  </si>
  <si>
    <t>Less: Changes in Working Capital</t>
  </si>
  <si>
    <t>Net Cash Flows from Operating Activities</t>
  </si>
  <si>
    <t>Purchase of Fixed Assets</t>
  </si>
  <si>
    <t>Net CashFlows from Investing Activities</t>
  </si>
  <si>
    <t>Equity Share Capital</t>
  </si>
  <si>
    <t>Debt Share Capital</t>
  </si>
  <si>
    <t>Net Cash Flows from Financing Activities</t>
  </si>
  <si>
    <t>Net Cash Flows for the Period</t>
  </si>
  <si>
    <t>Add: Opening Balance</t>
  </si>
  <si>
    <t>Closing Blance for the Period</t>
  </si>
  <si>
    <t>Equity &amp; Liabilities</t>
  </si>
  <si>
    <t>Equity:</t>
  </si>
  <si>
    <t>Share Capital</t>
  </si>
  <si>
    <t>Profit Reserves</t>
  </si>
  <si>
    <t>Total Equity Capital</t>
  </si>
  <si>
    <t>Liabilities:</t>
  </si>
  <si>
    <t>Current Liabilities:</t>
  </si>
  <si>
    <t>Total Current Liabilities</t>
  </si>
  <si>
    <t>Total Equity &amp; Liabilities</t>
  </si>
  <si>
    <t>Assets</t>
  </si>
  <si>
    <t>Fixed Assets:</t>
  </si>
  <si>
    <t>Refridgeration</t>
  </si>
  <si>
    <t>Current Assets:</t>
  </si>
  <si>
    <t>Total Current Assets</t>
  </si>
  <si>
    <t>Cash &amp; Cash Equivalents</t>
  </si>
  <si>
    <t>Total Assets</t>
  </si>
  <si>
    <t>Checker</t>
  </si>
  <si>
    <t>This is my personal work that I have built for Practice on my Financial Modelling Skills</t>
  </si>
  <si>
    <t xml:space="preserve">Below are All the Assumptions used in this Model Creation for the Project  </t>
  </si>
  <si>
    <t>Monthly Revenue</t>
  </si>
  <si>
    <t>Monthly P&amp;L</t>
  </si>
  <si>
    <t>The Business Capital Structure</t>
  </si>
  <si>
    <t>Fixed Assets Schedule</t>
  </si>
  <si>
    <t xml:space="preserve">Working Capital </t>
  </si>
  <si>
    <t>Annual P&amp;L for the Business</t>
  </si>
  <si>
    <t>Balance Sheet</t>
  </si>
  <si>
    <t>Cash Flow Statement</t>
  </si>
  <si>
    <t>PROJECT  SUMMARY</t>
  </si>
  <si>
    <t>wants to be sure that opening up a branch in Nairobi will be profitable</t>
  </si>
  <si>
    <t>The assumptions on the left have been provided by the Research and Development Team to create a</t>
  </si>
  <si>
    <t>A US - Based 5-Star hotel,  Hot Platters Group which currently operates in different states in the US</t>
  </si>
  <si>
    <t xml:space="preserve">needs to open up another one of its own branch in Kenya to due to the rising demand of hospitality services </t>
  </si>
  <si>
    <t xml:space="preserve">in the country and more specifically in Nairobi. Before setting up the business, Hot Platters Group </t>
  </si>
  <si>
    <t>financial model which will be forwarded to top management of the Group to enable wise decision</t>
  </si>
  <si>
    <t>making on the new Investment Venture</t>
  </si>
  <si>
    <r>
      <rPr>
        <b/>
        <sz val="11"/>
        <color theme="1"/>
        <rFont val="Calibri"/>
        <family val="2"/>
        <scheme val="minor"/>
      </rPr>
      <t>Your Task:</t>
    </r>
    <r>
      <rPr>
        <sz val="11"/>
        <color theme="1"/>
        <rFont val="Calibri"/>
        <family val="2"/>
        <scheme val="minor"/>
      </rPr>
      <t xml:space="preserve"> Create the Business Financial Model that will be forwarded to the top management of the Group</t>
    </r>
  </si>
  <si>
    <t>KSh</t>
  </si>
  <si>
    <t>Amounts in KSh.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</si>
</sst>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\-yy;@"/>
    <numFmt numFmtId="165" formatCode="&quot;Month&quot;\ 0"/>
    <numFmt numFmtId="166" formatCode="&quot;Year&quot;\ 0"/>
    <numFmt numFmtId="167" formatCode="_(* #,##0.0_);_(* \(#,##0.0\);_(* &quot;-&quot;??_);_(@_)"/>
    <numFmt numFmtId="168" formatCode="_(* #,##0.0_);_(* \(#,##0.0\);_(* &quot;-&quot;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164" fontId="0" fillId="0" borderId="0" xfId="0" applyNumberFormat="1"/>
    <xf numFmtId="15" fontId="0" fillId="0" borderId="0" xfId="0" applyNumberFormat="1"/>
    <xf numFmtId="164" fontId="0" fillId="2" borderId="0" xfId="0" applyNumberFormat="1" applyFill="1"/>
    <xf numFmtId="165" fontId="0" fillId="2" borderId="0" xfId="0" applyNumberFormat="1" applyFill="1"/>
    <xf numFmtId="0" fontId="2" fillId="0" borderId="0" xfId="0" applyFont="1"/>
    <xf numFmtId="0" fontId="1" fillId="3" borderId="0" xfId="0" applyFont="1" applyFill="1"/>
    <xf numFmtId="166" fontId="0" fillId="3" borderId="0" xfId="0" applyNumberFormat="1" applyFill="1"/>
    <xf numFmtId="164" fontId="0" fillId="3" borderId="0" xfId="0" applyNumberFormat="1" applyFill="1"/>
    <xf numFmtId="0" fontId="0" fillId="3" borderId="0" xfId="0" applyFill="1"/>
    <xf numFmtId="164" fontId="0" fillId="0" borderId="1" xfId="0" applyNumberFormat="1" applyBorder="1"/>
    <xf numFmtId="0" fontId="0" fillId="0" borderId="2" xfId="0" applyBorder="1"/>
    <xf numFmtId="15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0" xfId="0" applyFill="1"/>
    <xf numFmtId="0" fontId="1" fillId="4" borderId="4" xfId="0" applyFont="1" applyFill="1" applyBorder="1"/>
    <xf numFmtId="0" fontId="1" fillId="0" borderId="6" xfId="0" applyFont="1" applyBorder="1"/>
    <xf numFmtId="0" fontId="0" fillId="0" borderId="9" xfId="0" applyBorder="1"/>
    <xf numFmtId="0" fontId="1" fillId="4" borderId="1" xfId="0" applyFont="1" applyFill="1" applyBorder="1"/>
    <xf numFmtId="9" fontId="0" fillId="0" borderId="2" xfId="0" applyNumberFormat="1" applyBorder="1"/>
    <xf numFmtId="0" fontId="0" fillId="0" borderId="3" xfId="0" applyBorder="1"/>
    <xf numFmtId="0" fontId="2" fillId="0" borderId="6" xfId="0" applyFont="1" applyBorder="1"/>
    <xf numFmtId="9" fontId="0" fillId="0" borderId="1" xfId="0" applyNumberFormat="1" applyBorder="1"/>
    <xf numFmtId="9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6" borderId="0" xfId="0" applyFill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9" fontId="1" fillId="6" borderId="0" xfId="0" applyNumberFormat="1" applyFont="1" applyFill="1"/>
    <xf numFmtId="10" fontId="0" fillId="0" borderId="2" xfId="0" applyNumberFormat="1" applyBorder="1"/>
    <xf numFmtId="0" fontId="0" fillId="5" borderId="0" xfId="0" applyFill="1"/>
    <xf numFmtId="0" fontId="0" fillId="0" borderId="1" xfId="0" applyBorder="1"/>
    <xf numFmtId="9" fontId="1" fillId="4" borderId="0" xfId="0" applyNumberFormat="1" applyFont="1" applyFill="1"/>
    <xf numFmtId="10" fontId="0" fillId="5" borderId="0" xfId="0" applyNumberFormat="1" applyFill="1"/>
    <xf numFmtId="0" fontId="1" fillId="5" borderId="0" xfId="0" applyFont="1" applyFill="1"/>
    <xf numFmtId="1" fontId="0" fillId="0" borderId="0" xfId="0" applyNumberFormat="1"/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1" fillId="0" borderId="0" xfId="0" applyFont="1" applyAlignment="1">
      <alignment horizontal="left"/>
    </xf>
    <xf numFmtId="1" fontId="1" fillId="0" borderId="0" xfId="0" applyNumberFormat="1" applyFont="1"/>
    <xf numFmtId="0" fontId="1" fillId="0" borderId="13" xfId="0" applyFont="1" applyBorder="1" applyAlignment="1">
      <alignment horizontal="left" indent="1"/>
    </xf>
    <xf numFmtId="0" fontId="1" fillId="0" borderId="13" xfId="0" applyFont="1" applyBorder="1"/>
    <xf numFmtId="1" fontId="1" fillId="0" borderId="13" xfId="0" applyNumberFormat="1" applyFont="1" applyBorder="1"/>
    <xf numFmtId="167" fontId="0" fillId="0" borderId="0" xfId="1" applyNumberFormat="1" applyFont="1"/>
    <xf numFmtId="167" fontId="2" fillId="0" borderId="0" xfId="1" applyNumberFormat="1" applyFont="1"/>
    <xf numFmtId="167" fontId="1" fillId="0" borderId="13" xfId="1" applyNumberFormat="1" applyFont="1" applyFill="1" applyBorder="1" applyAlignment="1">
      <alignment horizontal="left" indent="1"/>
    </xf>
    <xf numFmtId="167" fontId="1" fillId="0" borderId="0" xfId="1" applyNumberFormat="1" applyFont="1"/>
    <xf numFmtId="167" fontId="1" fillId="0" borderId="13" xfId="1" applyNumberFormat="1" applyFont="1" applyBorder="1"/>
    <xf numFmtId="167" fontId="1" fillId="0" borderId="13" xfId="0" applyNumberFormat="1" applyFont="1" applyBorder="1" applyAlignment="1">
      <alignment horizontal="left" indent="1"/>
    </xf>
    <xf numFmtId="0" fontId="1" fillId="8" borderId="0" xfId="0" applyFont="1" applyFill="1"/>
    <xf numFmtId="167" fontId="1" fillId="8" borderId="0" xfId="1" applyNumberFormat="1" applyFont="1" applyFill="1"/>
    <xf numFmtId="1" fontId="1" fillId="8" borderId="0" xfId="0" applyNumberFormat="1" applyFont="1" applyFill="1"/>
    <xf numFmtId="0" fontId="1" fillId="0" borderId="14" xfId="0" applyFont="1" applyBorder="1"/>
    <xf numFmtId="167" fontId="1" fillId="0" borderId="14" xfId="0" applyNumberFormat="1" applyFont="1" applyBorder="1"/>
    <xf numFmtId="167" fontId="1" fillId="0" borderId="14" xfId="1" applyNumberFormat="1" applyFont="1" applyBorder="1"/>
    <xf numFmtId="0" fontId="0" fillId="0" borderId="15" xfId="0" applyBorder="1"/>
    <xf numFmtId="167" fontId="0" fillId="0" borderId="15" xfId="1" applyNumberFormat="1" applyFont="1" applyBorder="1"/>
    <xf numFmtId="0" fontId="0" fillId="9" borderId="0" xfId="0" applyFill="1"/>
    <xf numFmtId="167" fontId="0" fillId="9" borderId="0" xfId="1" applyNumberFormat="1" applyFont="1" applyFill="1"/>
    <xf numFmtId="9" fontId="0" fillId="9" borderId="0" xfId="2" applyFont="1" applyFill="1"/>
    <xf numFmtId="0" fontId="0" fillId="0" borderId="0" xfId="0" applyAlignment="1">
      <alignment horizontal="left" indent="1"/>
    </xf>
    <xf numFmtId="9" fontId="0" fillId="0" borderId="0" xfId="2" applyFont="1"/>
    <xf numFmtId="0" fontId="1" fillId="0" borderId="15" xfId="0" applyFont="1" applyBorder="1"/>
    <xf numFmtId="167" fontId="1" fillId="0" borderId="15" xfId="1" applyNumberFormat="1" applyFont="1" applyBorder="1"/>
    <xf numFmtId="0" fontId="0" fillId="8" borderId="0" xfId="0" applyFill="1"/>
    <xf numFmtId="2" fontId="0" fillId="0" borderId="0" xfId="0" applyNumberFormat="1"/>
    <xf numFmtId="167" fontId="0" fillId="8" borderId="0" xfId="1" applyNumberFormat="1" applyFont="1" applyFill="1"/>
    <xf numFmtId="167" fontId="0" fillId="0" borderId="0" xfId="1" applyNumberFormat="1" applyFont="1" applyFill="1"/>
    <xf numFmtId="168" fontId="0" fillId="0" borderId="0" xfId="0" applyNumberFormat="1"/>
    <xf numFmtId="0" fontId="0" fillId="0" borderId="0" xfId="0" applyAlignment="1">
      <alignment horizontal="left" indent="2"/>
    </xf>
    <xf numFmtId="0" fontId="1" fillId="0" borderId="13" xfId="0" applyFont="1" applyBorder="1" applyAlignment="1">
      <alignment horizontal="left" indent="2"/>
    </xf>
    <xf numFmtId="167" fontId="1" fillId="0" borderId="13" xfId="0" applyNumberFormat="1" applyFont="1" applyBorder="1"/>
    <xf numFmtId="167" fontId="0" fillId="0" borderId="0" xfId="1" applyNumberFormat="1" applyFont="1" applyAlignment="1"/>
    <xf numFmtId="43" fontId="1" fillId="0" borderId="13" xfId="0" applyNumberFormat="1" applyFont="1" applyBorder="1"/>
    <xf numFmtId="0" fontId="1" fillId="0" borderId="16" xfId="0" applyFont="1" applyBorder="1"/>
    <xf numFmtId="167" fontId="1" fillId="0" borderId="16" xfId="1" applyNumberFormat="1" applyFont="1" applyBorder="1"/>
    <xf numFmtId="10" fontId="0" fillId="0" borderId="0" xfId="2" applyNumberFormat="1" applyFont="1"/>
    <xf numFmtId="10" fontId="0" fillId="6" borderId="0" xfId="2" applyNumberFormat="1" applyFont="1" applyFill="1"/>
    <xf numFmtId="167" fontId="0" fillId="6" borderId="0" xfId="1" applyNumberFormat="1" applyFont="1" applyFill="1"/>
    <xf numFmtId="167" fontId="0" fillId="0" borderId="0" xfId="1" applyNumberFormat="1" applyFont="1" applyBorder="1"/>
    <xf numFmtId="0" fontId="6" fillId="10" borderId="15" xfId="0" applyFont="1" applyFill="1" applyBorder="1"/>
    <xf numFmtId="167" fontId="6" fillId="10" borderId="15" xfId="1" applyNumberFormat="1" applyFont="1" applyFill="1" applyBorder="1"/>
    <xf numFmtId="43" fontId="6" fillId="10" borderId="15" xfId="1" applyFont="1" applyFill="1" applyBorder="1"/>
    <xf numFmtId="168" fontId="0" fillId="0" borderId="11" xfId="0" applyNumberFormat="1" applyBorder="1"/>
    <xf numFmtId="168" fontId="0" fillId="0" borderId="12" xfId="0" applyNumberFormat="1" applyBorder="1"/>
    <xf numFmtId="0" fontId="1" fillId="11" borderId="10" xfId="0" applyFont="1" applyFill="1" applyBorder="1"/>
    <xf numFmtId="0" fontId="6" fillId="12" borderId="0" xfId="0" applyFont="1" applyFill="1" applyAlignment="1">
      <alignment horizontal="center"/>
    </xf>
    <xf numFmtId="0" fontId="0" fillId="13" borderId="0" xfId="0" applyFill="1"/>
    <xf numFmtId="0" fontId="1" fillId="13" borderId="0" xfId="0" applyFont="1" applyFill="1"/>
    <xf numFmtId="0" fontId="1" fillId="5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0" fillId="6" borderId="0" xfId="0" applyFill="1"/>
    <xf numFmtId="0" fontId="3" fillId="5" borderId="5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left"/>
    </xf>
    <xf numFmtId="0" fontId="7" fillId="7" borderId="0" xfId="0" applyFont="1" applyFill="1" applyAlignment="1">
      <alignment horizontal="center"/>
    </xf>
    <xf numFmtId="0" fontId="1" fillId="0" borderId="14" xfId="0" applyFont="1" applyBorder="1"/>
    <xf numFmtId="0" fontId="0" fillId="0" borderId="0" xfId="0" applyAlignment="1">
      <alignment horizontal="left" inden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BEA8-D9BB-42D9-BABF-5A90695FBB13}">
  <sheetPr>
    <tabColor rgb="FF00B050"/>
  </sheetPr>
  <dimension ref="A2:S127"/>
  <sheetViews>
    <sheetView topLeftCell="A2" zoomScaleNormal="100" workbookViewId="0">
      <selection activeCell="J16" sqref="J16"/>
    </sheetView>
  </sheetViews>
  <sheetFormatPr defaultRowHeight="14.4" x14ac:dyDescent="0.3"/>
  <cols>
    <col min="1" max="1" width="28" bestFit="1" customWidth="1"/>
    <col min="2" max="2" width="14" customWidth="1"/>
    <col min="3" max="3" width="9.77734375" bestFit="1" customWidth="1"/>
    <col min="5" max="5" width="26.6640625" bestFit="1" customWidth="1"/>
    <col min="6" max="6" width="9.6640625" bestFit="1" customWidth="1"/>
    <col min="7" max="7" width="9.77734375" bestFit="1" customWidth="1"/>
  </cols>
  <sheetData>
    <row r="2" spans="1:19" ht="18" x14ac:dyDescent="0.35">
      <c r="A2" s="98" t="s">
        <v>172</v>
      </c>
      <c r="B2" s="98"/>
      <c r="C2" s="98"/>
      <c r="D2" s="98"/>
      <c r="E2" s="98"/>
      <c r="F2" s="98"/>
      <c r="G2" s="98"/>
      <c r="I2" s="97" t="s">
        <v>182</v>
      </c>
      <c r="J2" s="97"/>
      <c r="K2" s="97"/>
      <c r="L2" s="97"/>
      <c r="M2" s="97"/>
      <c r="N2" s="97"/>
      <c r="O2" s="97"/>
      <c r="P2" s="97"/>
      <c r="Q2" s="97"/>
      <c r="R2" s="97"/>
      <c r="S2" s="97"/>
    </row>
    <row r="3" spans="1:19" x14ac:dyDescent="0.3">
      <c r="B3" s="99" t="s">
        <v>173</v>
      </c>
      <c r="C3" s="99"/>
      <c r="D3" s="99"/>
      <c r="E3" s="99"/>
      <c r="F3" s="99"/>
      <c r="I3" s="94" t="s">
        <v>185</v>
      </c>
      <c r="J3" s="94"/>
      <c r="K3" s="94"/>
      <c r="L3" s="94"/>
      <c r="M3" s="94"/>
      <c r="N3" s="94"/>
      <c r="O3" s="94"/>
      <c r="P3" s="94"/>
      <c r="Q3" s="94"/>
      <c r="R3" s="94"/>
      <c r="S3" s="94"/>
    </row>
    <row r="4" spans="1:19" x14ac:dyDescent="0.3">
      <c r="B4" s="93"/>
      <c r="C4" s="93"/>
      <c r="D4" s="93"/>
      <c r="E4" s="93"/>
      <c r="F4" s="93"/>
      <c r="I4" s="94" t="s">
        <v>186</v>
      </c>
      <c r="J4" s="94"/>
      <c r="K4" s="94"/>
      <c r="L4" s="94"/>
      <c r="M4" s="94"/>
      <c r="N4" s="94"/>
      <c r="O4" s="94"/>
      <c r="P4" s="94"/>
      <c r="Q4" s="94"/>
      <c r="R4" s="94"/>
      <c r="S4" s="94"/>
    </row>
    <row r="5" spans="1:19" x14ac:dyDescent="0.3">
      <c r="B5" t="s">
        <v>1</v>
      </c>
      <c r="C5" s="2">
        <v>43951</v>
      </c>
      <c r="I5" s="94" t="s">
        <v>187</v>
      </c>
      <c r="J5" s="94"/>
      <c r="K5" s="94"/>
      <c r="L5" s="94"/>
      <c r="M5" s="94"/>
      <c r="N5" s="94"/>
      <c r="O5" s="94"/>
      <c r="P5" s="94"/>
      <c r="Q5" s="94"/>
      <c r="R5" s="94"/>
      <c r="S5" s="94"/>
    </row>
    <row r="6" spans="1:19" x14ac:dyDescent="0.3">
      <c r="B6" t="s">
        <v>2</v>
      </c>
      <c r="C6" t="s">
        <v>3</v>
      </c>
      <c r="I6" s="95" t="s">
        <v>183</v>
      </c>
      <c r="J6" s="94"/>
      <c r="K6" s="94"/>
      <c r="L6" s="94"/>
      <c r="M6" s="94"/>
      <c r="N6" s="94"/>
      <c r="O6" s="94"/>
      <c r="P6" s="94"/>
      <c r="Q6" s="94"/>
      <c r="R6" s="94"/>
      <c r="S6" s="94"/>
    </row>
    <row r="7" spans="1:19" x14ac:dyDescent="0.3">
      <c r="B7" t="s">
        <v>5</v>
      </c>
      <c r="C7" s="3">
        <v>44013</v>
      </c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</row>
    <row r="8" spans="1:19" x14ac:dyDescent="0.3">
      <c r="A8" t="s">
        <v>192</v>
      </c>
      <c r="I8" s="94" t="s">
        <v>184</v>
      </c>
      <c r="J8" s="94"/>
      <c r="K8" s="94"/>
      <c r="L8" s="94"/>
      <c r="M8" s="94"/>
      <c r="N8" s="94"/>
      <c r="O8" s="94"/>
      <c r="P8" s="94"/>
      <c r="Q8" s="94"/>
      <c r="R8" s="94"/>
      <c r="S8" s="94"/>
    </row>
    <row r="9" spans="1:19" x14ac:dyDescent="0.3">
      <c r="I9" s="94" t="s">
        <v>188</v>
      </c>
      <c r="J9" s="94"/>
      <c r="K9" s="94"/>
      <c r="L9" s="94"/>
      <c r="M9" s="94"/>
      <c r="N9" s="94"/>
      <c r="O9" s="94"/>
      <c r="P9" s="94"/>
      <c r="Q9" s="94"/>
      <c r="R9" s="94"/>
      <c r="S9" s="94"/>
    </row>
    <row r="10" spans="1:19" ht="18" x14ac:dyDescent="0.35">
      <c r="A10" s="98" t="s">
        <v>16</v>
      </c>
      <c r="B10" s="98"/>
      <c r="C10" s="98"/>
      <c r="D10" s="98"/>
      <c r="E10" s="98"/>
      <c r="F10" s="98"/>
      <c r="G10" s="98"/>
      <c r="I10" s="94" t="s">
        <v>189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</row>
    <row r="11" spans="1:19" ht="15" thickBot="1" x14ac:dyDescent="0.35"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</row>
    <row r="12" spans="1:19" x14ac:dyDescent="0.3">
      <c r="A12" s="14" t="s">
        <v>17</v>
      </c>
      <c r="B12" s="15"/>
      <c r="C12" s="15"/>
      <c r="D12" s="15"/>
      <c r="E12" s="15"/>
      <c r="F12" s="15"/>
      <c r="G12" s="11">
        <v>43951</v>
      </c>
      <c r="I12" s="94" t="s">
        <v>190</v>
      </c>
      <c r="J12" s="94"/>
      <c r="K12" s="94"/>
      <c r="L12" s="94"/>
      <c r="M12" s="94"/>
      <c r="N12" s="94"/>
      <c r="O12" s="94"/>
      <c r="P12" s="94"/>
      <c r="Q12" s="94"/>
      <c r="R12" s="94"/>
      <c r="S12" s="94"/>
    </row>
    <row r="13" spans="1:19" x14ac:dyDescent="0.3">
      <c r="A13" s="16" t="s">
        <v>18</v>
      </c>
      <c r="G13" s="12" t="s">
        <v>3</v>
      </c>
    </row>
    <row r="14" spans="1:19" ht="15" thickBot="1" x14ac:dyDescent="0.35">
      <c r="A14" s="17" t="s">
        <v>4</v>
      </c>
      <c r="B14" s="18"/>
      <c r="C14" s="18"/>
      <c r="D14" s="18"/>
      <c r="E14" s="18"/>
      <c r="F14" s="18"/>
      <c r="G14" s="13">
        <v>44013</v>
      </c>
    </row>
    <row r="15" spans="1:19" ht="15" thickBot="1" x14ac:dyDescent="0.35">
      <c r="G15" s="3"/>
    </row>
    <row r="16" spans="1:19" ht="18" customHeight="1" thickBot="1" x14ac:dyDescent="0.4">
      <c r="A16" s="101" t="s">
        <v>31</v>
      </c>
      <c r="B16" s="101"/>
      <c r="C16" s="101"/>
      <c r="D16" s="101"/>
      <c r="E16" s="101"/>
      <c r="F16" s="101"/>
      <c r="G16" s="101"/>
    </row>
    <row r="17" spans="1:7" x14ac:dyDescent="0.3">
      <c r="A17" s="20" t="s">
        <v>19</v>
      </c>
      <c r="B17" s="23" t="s">
        <v>14</v>
      </c>
      <c r="C17" s="23" t="s">
        <v>15</v>
      </c>
      <c r="E17" s="20" t="s">
        <v>19</v>
      </c>
      <c r="F17" s="23" t="s">
        <v>14</v>
      </c>
      <c r="G17" s="23" t="s">
        <v>15</v>
      </c>
    </row>
    <row r="18" spans="1:7" x14ac:dyDescent="0.3">
      <c r="A18" s="26" t="s">
        <v>12</v>
      </c>
      <c r="B18" s="12"/>
      <c r="C18" s="12"/>
      <c r="E18" s="26" t="s">
        <v>13</v>
      </c>
      <c r="F18" s="12"/>
      <c r="G18" s="12"/>
    </row>
    <row r="19" spans="1:7" x14ac:dyDescent="0.3">
      <c r="A19" s="43" t="s">
        <v>20</v>
      </c>
      <c r="B19" s="12">
        <v>1500</v>
      </c>
      <c r="C19" s="12">
        <v>1700</v>
      </c>
      <c r="E19" s="16" t="s">
        <v>20</v>
      </c>
      <c r="F19" s="12">
        <v>1600</v>
      </c>
      <c r="G19" s="12">
        <v>1900</v>
      </c>
    </row>
    <row r="20" spans="1:7" x14ac:dyDescent="0.3">
      <c r="A20" s="43" t="s">
        <v>21</v>
      </c>
      <c r="B20" s="12">
        <v>300</v>
      </c>
      <c r="C20" s="12">
        <v>500</v>
      </c>
      <c r="E20" s="16" t="s">
        <v>21</v>
      </c>
      <c r="F20" s="12">
        <v>400</v>
      </c>
      <c r="G20" s="12">
        <v>650</v>
      </c>
    </row>
    <row r="21" spans="1:7" x14ac:dyDescent="0.3">
      <c r="A21" s="43" t="s">
        <v>22</v>
      </c>
      <c r="B21" s="12">
        <v>200</v>
      </c>
      <c r="C21" s="12">
        <v>200</v>
      </c>
      <c r="E21" s="16" t="s">
        <v>22</v>
      </c>
      <c r="F21" s="12">
        <v>200</v>
      </c>
      <c r="G21" s="12">
        <v>250</v>
      </c>
    </row>
    <row r="22" spans="1:7" x14ac:dyDescent="0.3">
      <c r="A22" s="43" t="s">
        <v>23</v>
      </c>
      <c r="B22" s="12">
        <v>1000</v>
      </c>
      <c r="C22" s="12">
        <v>1000</v>
      </c>
      <c r="E22" s="16" t="s">
        <v>23</v>
      </c>
      <c r="F22" s="12">
        <v>1000</v>
      </c>
      <c r="G22" s="12">
        <v>1000</v>
      </c>
    </row>
    <row r="23" spans="1:7" x14ac:dyDescent="0.3">
      <c r="A23" s="43" t="s">
        <v>24</v>
      </c>
      <c r="B23" s="24">
        <v>0.05</v>
      </c>
      <c r="C23" s="24">
        <v>0.05</v>
      </c>
      <c r="E23" s="16" t="s">
        <v>24</v>
      </c>
      <c r="F23" s="24">
        <v>0.05</v>
      </c>
      <c r="G23" s="24">
        <v>0.05</v>
      </c>
    </row>
    <row r="24" spans="1:7" x14ac:dyDescent="0.3">
      <c r="A24" s="16"/>
      <c r="B24" s="12"/>
      <c r="C24" s="12"/>
      <c r="E24" s="16"/>
      <c r="F24" s="12"/>
      <c r="G24" s="12"/>
    </row>
    <row r="25" spans="1:7" x14ac:dyDescent="0.3">
      <c r="A25" s="21" t="s">
        <v>25</v>
      </c>
      <c r="B25" s="12"/>
      <c r="C25" s="12"/>
      <c r="E25" s="21" t="s">
        <v>25</v>
      </c>
      <c r="F25" s="12"/>
      <c r="G25" s="12"/>
    </row>
    <row r="26" spans="1:7" x14ac:dyDescent="0.3">
      <c r="A26" s="43" t="s">
        <v>26</v>
      </c>
      <c r="B26" s="12">
        <v>100</v>
      </c>
      <c r="C26" s="12">
        <v>100</v>
      </c>
      <c r="E26" s="16" t="s">
        <v>26</v>
      </c>
      <c r="F26" s="12">
        <v>100</v>
      </c>
      <c r="G26" s="12">
        <v>100</v>
      </c>
    </row>
    <row r="27" spans="1:7" x14ac:dyDescent="0.3">
      <c r="A27" s="43" t="s">
        <v>27</v>
      </c>
      <c r="B27" s="12">
        <v>2</v>
      </c>
      <c r="C27" s="12">
        <v>2</v>
      </c>
      <c r="E27" s="16" t="s">
        <v>27</v>
      </c>
      <c r="F27" s="12">
        <v>2</v>
      </c>
      <c r="G27" s="12">
        <v>2</v>
      </c>
    </row>
    <row r="28" spans="1:7" x14ac:dyDescent="0.3">
      <c r="A28" s="43" t="s">
        <v>28</v>
      </c>
      <c r="B28" s="12">
        <v>10</v>
      </c>
      <c r="C28" s="12">
        <v>13</v>
      </c>
      <c r="E28" s="16" t="s">
        <v>28</v>
      </c>
      <c r="F28" s="12">
        <v>13</v>
      </c>
      <c r="G28" s="12">
        <v>15</v>
      </c>
    </row>
    <row r="29" spans="1:7" x14ac:dyDescent="0.3">
      <c r="A29" s="43" t="s">
        <v>29</v>
      </c>
      <c r="B29" s="24">
        <v>0.02</v>
      </c>
      <c r="C29" s="24">
        <v>0.04</v>
      </c>
      <c r="E29" s="16" t="s">
        <v>29</v>
      </c>
      <c r="F29" s="24">
        <v>0.02</v>
      </c>
      <c r="G29" s="24">
        <v>0.04</v>
      </c>
    </row>
    <row r="30" spans="1:7" ht="15" thickBot="1" x14ac:dyDescent="0.35">
      <c r="A30" s="44" t="s">
        <v>30</v>
      </c>
      <c r="B30" s="25">
        <v>60</v>
      </c>
      <c r="C30" s="25">
        <v>80</v>
      </c>
      <c r="E30" s="17" t="s">
        <v>30</v>
      </c>
      <c r="F30" s="25">
        <v>70</v>
      </c>
      <c r="G30" s="25">
        <v>90</v>
      </c>
    </row>
    <row r="33" spans="1:4" ht="15" thickBot="1" x14ac:dyDescent="0.35">
      <c r="A33" s="96" t="s">
        <v>32</v>
      </c>
      <c r="B33" s="96"/>
      <c r="C33" s="96"/>
      <c r="D33" s="96"/>
    </row>
    <row r="34" spans="1:4" x14ac:dyDescent="0.3">
      <c r="A34" s="102" t="s">
        <v>33</v>
      </c>
      <c r="B34" s="103"/>
      <c r="C34" s="103"/>
      <c r="D34" s="27">
        <v>0.35</v>
      </c>
    </row>
    <row r="35" spans="1:4" x14ac:dyDescent="0.3">
      <c r="A35" s="104" t="s">
        <v>34</v>
      </c>
      <c r="B35" s="105"/>
      <c r="C35" s="105"/>
      <c r="D35" s="24">
        <v>0.4</v>
      </c>
    </row>
    <row r="36" spans="1:4" ht="15" thickBot="1" x14ac:dyDescent="0.35">
      <c r="A36" s="106" t="s">
        <v>35</v>
      </c>
      <c r="B36" s="107"/>
      <c r="C36" s="107"/>
      <c r="D36" s="28">
        <v>0.3</v>
      </c>
    </row>
    <row r="39" spans="1:4" ht="15" thickBot="1" x14ac:dyDescent="0.35">
      <c r="A39" s="96" t="s">
        <v>36</v>
      </c>
      <c r="B39" s="96"/>
      <c r="C39" s="96"/>
      <c r="D39" s="96"/>
    </row>
    <row r="40" spans="1:4" s="1" customFormat="1" ht="15" thickBot="1" x14ac:dyDescent="0.35">
      <c r="A40" s="32" t="s">
        <v>37</v>
      </c>
      <c r="B40" s="33" t="s">
        <v>38</v>
      </c>
      <c r="C40" s="33" t="s">
        <v>39</v>
      </c>
      <c r="D40" s="34" t="s">
        <v>39</v>
      </c>
    </row>
    <row r="41" spans="1:4" x14ac:dyDescent="0.3">
      <c r="A41" s="16" t="s">
        <v>40</v>
      </c>
      <c r="B41">
        <v>2</v>
      </c>
      <c r="C41">
        <v>20000</v>
      </c>
      <c r="D41" s="22">
        <v>40000</v>
      </c>
    </row>
    <row r="42" spans="1:4" x14ac:dyDescent="0.3">
      <c r="A42" s="16" t="s">
        <v>41</v>
      </c>
      <c r="B42">
        <v>2</v>
      </c>
      <c r="C42">
        <v>50000</v>
      </c>
      <c r="D42" s="22">
        <v>100000</v>
      </c>
    </row>
    <row r="43" spans="1:4" x14ac:dyDescent="0.3">
      <c r="A43" s="16" t="s">
        <v>42</v>
      </c>
      <c r="B43">
        <v>10</v>
      </c>
      <c r="C43">
        <v>20000</v>
      </c>
      <c r="D43" s="22">
        <v>200000</v>
      </c>
    </row>
    <row r="44" spans="1:4" x14ac:dyDescent="0.3">
      <c r="A44" s="16" t="s">
        <v>43</v>
      </c>
      <c r="B44">
        <v>1</v>
      </c>
      <c r="C44">
        <v>100000</v>
      </c>
      <c r="D44" s="22">
        <v>100000</v>
      </c>
    </row>
    <row r="45" spans="1:4" x14ac:dyDescent="0.3">
      <c r="A45" s="16" t="s">
        <v>44</v>
      </c>
      <c r="B45">
        <v>2</v>
      </c>
      <c r="C45">
        <v>75000</v>
      </c>
      <c r="D45" s="22">
        <v>150000</v>
      </c>
    </row>
    <row r="46" spans="1:4" x14ac:dyDescent="0.3">
      <c r="A46" s="16" t="s">
        <v>45</v>
      </c>
      <c r="B46">
        <v>6</v>
      </c>
      <c r="C46">
        <v>30000</v>
      </c>
      <c r="D46" s="22">
        <v>180000</v>
      </c>
    </row>
    <row r="47" spans="1:4" x14ac:dyDescent="0.3">
      <c r="A47" s="16" t="s">
        <v>46</v>
      </c>
      <c r="B47">
        <v>3</v>
      </c>
      <c r="C47">
        <v>17000</v>
      </c>
      <c r="D47" s="22">
        <v>51000</v>
      </c>
    </row>
    <row r="48" spans="1:4" x14ac:dyDescent="0.3">
      <c r="A48" s="16" t="s">
        <v>47</v>
      </c>
      <c r="B48">
        <v>5</v>
      </c>
      <c r="C48">
        <v>17000</v>
      </c>
      <c r="D48" s="22">
        <v>85000</v>
      </c>
    </row>
    <row r="49" spans="1:4" ht="15" thickBot="1" x14ac:dyDescent="0.35">
      <c r="A49" s="16" t="s">
        <v>48</v>
      </c>
      <c r="B49">
        <v>4</v>
      </c>
      <c r="C49">
        <v>20000</v>
      </c>
      <c r="D49" s="22">
        <v>80000</v>
      </c>
    </row>
    <row r="50" spans="1:4" s="1" customFormat="1" ht="15" thickBot="1" x14ac:dyDescent="0.35">
      <c r="A50" s="32" t="s">
        <v>49</v>
      </c>
      <c r="B50" s="33"/>
      <c r="C50" s="33"/>
      <c r="D50" s="34">
        <v>986000</v>
      </c>
    </row>
    <row r="52" spans="1:4" x14ac:dyDescent="0.3">
      <c r="A52" s="31" t="s">
        <v>50</v>
      </c>
      <c r="B52" s="35">
        <v>0.12</v>
      </c>
      <c r="C52" s="31"/>
      <c r="D52" s="31"/>
    </row>
    <row r="55" spans="1:4" s="1" customFormat="1" ht="15" thickBot="1" x14ac:dyDescent="0.35">
      <c r="A55" s="96" t="s">
        <v>51</v>
      </c>
      <c r="B55" s="96"/>
      <c r="C55" s="96"/>
      <c r="D55" s="96"/>
    </row>
    <row r="56" spans="1:4" s="1" customFormat="1" ht="15" thickBot="1" x14ac:dyDescent="0.35">
      <c r="A56" s="32" t="s">
        <v>37</v>
      </c>
      <c r="B56" s="33" t="s">
        <v>38</v>
      </c>
      <c r="C56" s="33" t="s">
        <v>52</v>
      </c>
      <c r="D56" s="34" t="s">
        <v>52</v>
      </c>
    </row>
    <row r="57" spans="1:4" x14ac:dyDescent="0.3">
      <c r="A57" s="16" t="s">
        <v>53</v>
      </c>
      <c r="B57">
        <v>1</v>
      </c>
      <c r="C57">
        <v>50000</v>
      </c>
      <c r="D57" s="22">
        <v>50000</v>
      </c>
    </row>
    <row r="58" spans="1:4" x14ac:dyDescent="0.3">
      <c r="A58" s="16" t="s">
        <v>54</v>
      </c>
      <c r="B58">
        <v>2</v>
      </c>
      <c r="C58">
        <v>35000</v>
      </c>
      <c r="D58" s="22">
        <v>70000</v>
      </c>
    </row>
    <row r="59" spans="1:4" x14ac:dyDescent="0.3">
      <c r="A59" s="16" t="s">
        <v>55</v>
      </c>
      <c r="B59">
        <v>2</v>
      </c>
      <c r="C59">
        <v>20000</v>
      </c>
      <c r="D59" s="22">
        <v>40000</v>
      </c>
    </row>
    <row r="60" spans="1:4" x14ac:dyDescent="0.3">
      <c r="A60" s="16" t="s">
        <v>56</v>
      </c>
      <c r="B60">
        <v>2</v>
      </c>
      <c r="C60">
        <v>40000</v>
      </c>
      <c r="D60" s="22">
        <v>80000</v>
      </c>
    </row>
    <row r="61" spans="1:4" x14ac:dyDescent="0.3">
      <c r="A61" s="16" t="s">
        <v>57</v>
      </c>
      <c r="B61">
        <v>2</v>
      </c>
      <c r="C61">
        <v>40000</v>
      </c>
      <c r="D61" s="22">
        <v>80000</v>
      </c>
    </row>
    <row r="62" spans="1:4" ht="15" thickBot="1" x14ac:dyDescent="0.35">
      <c r="A62" s="16" t="s">
        <v>58</v>
      </c>
      <c r="B62">
        <v>2</v>
      </c>
      <c r="C62">
        <v>30000</v>
      </c>
      <c r="D62" s="22">
        <v>60000</v>
      </c>
    </row>
    <row r="63" spans="1:4" ht="15" thickBot="1" x14ac:dyDescent="0.35">
      <c r="A63" s="29" t="s">
        <v>59</v>
      </c>
      <c r="B63" s="30"/>
      <c r="C63" s="30"/>
      <c r="D63" s="30">
        <v>380000</v>
      </c>
    </row>
    <row r="64" spans="1:4" ht="15" thickBot="1" x14ac:dyDescent="0.35"/>
    <row r="65" spans="1:4" x14ac:dyDescent="0.3">
      <c r="A65" s="14" t="s">
        <v>110</v>
      </c>
      <c r="B65" s="15"/>
      <c r="C65" s="15"/>
      <c r="D65" s="27">
        <v>0.05</v>
      </c>
    </row>
    <row r="66" spans="1:4" x14ac:dyDescent="0.3">
      <c r="A66" s="16" t="s">
        <v>60</v>
      </c>
      <c r="D66" s="24">
        <v>0.1</v>
      </c>
    </row>
    <row r="67" spans="1:4" x14ac:dyDescent="0.3">
      <c r="A67" s="16" t="s">
        <v>61</v>
      </c>
      <c r="D67" s="12">
        <v>10000</v>
      </c>
    </row>
    <row r="68" spans="1:4" x14ac:dyDescent="0.3">
      <c r="A68" s="16" t="s">
        <v>62</v>
      </c>
      <c r="D68" s="12">
        <v>50000</v>
      </c>
    </row>
    <row r="69" spans="1:4" x14ac:dyDescent="0.3">
      <c r="A69" s="16" t="s">
        <v>63</v>
      </c>
      <c r="D69" s="12">
        <v>25000</v>
      </c>
    </row>
    <row r="70" spans="1:4" x14ac:dyDescent="0.3">
      <c r="A70" s="16" t="s">
        <v>68</v>
      </c>
      <c r="D70" s="12">
        <v>5</v>
      </c>
    </row>
    <row r="71" spans="1:4" x14ac:dyDescent="0.3">
      <c r="A71" s="16" t="s">
        <v>64</v>
      </c>
      <c r="D71" s="12">
        <v>15000</v>
      </c>
    </row>
    <row r="72" spans="1:4" x14ac:dyDescent="0.3">
      <c r="A72" s="16" t="s">
        <v>65</v>
      </c>
      <c r="D72" s="24">
        <v>0.02</v>
      </c>
    </row>
    <row r="73" spans="1:4" x14ac:dyDescent="0.3">
      <c r="A73" s="16" t="s">
        <v>66</v>
      </c>
      <c r="D73" s="36">
        <v>1.4999999999999999E-2</v>
      </c>
    </row>
    <row r="74" spans="1:4" ht="15" thickBot="1" x14ac:dyDescent="0.35">
      <c r="A74" s="17" t="s">
        <v>67</v>
      </c>
      <c r="B74" s="18"/>
      <c r="C74" s="18"/>
      <c r="D74" s="28">
        <v>0.5</v>
      </c>
    </row>
    <row r="76" spans="1:4" x14ac:dyDescent="0.3">
      <c r="A76" s="100" t="s">
        <v>69</v>
      </c>
      <c r="B76" s="100"/>
      <c r="C76" s="35">
        <v>0.15</v>
      </c>
      <c r="D76" s="31"/>
    </row>
    <row r="79" spans="1:4" ht="15" thickBot="1" x14ac:dyDescent="0.35">
      <c r="A79" s="96" t="s">
        <v>70</v>
      </c>
      <c r="B79" s="96"/>
      <c r="C79" s="96"/>
      <c r="D79" s="96"/>
    </row>
    <row r="80" spans="1:4" x14ac:dyDescent="0.3">
      <c r="A80" s="14" t="s">
        <v>71</v>
      </c>
      <c r="B80" s="15"/>
      <c r="C80" s="38">
        <v>4000</v>
      </c>
    </row>
    <row r="81" spans="1:3" x14ac:dyDescent="0.3">
      <c r="A81" s="16" t="s">
        <v>72</v>
      </c>
      <c r="C81" s="12">
        <v>1.33</v>
      </c>
    </row>
    <row r="82" spans="1:3" x14ac:dyDescent="0.3">
      <c r="A82" s="16" t="s">
        <v>73</v>
      </c>
      <c r="C82" s="12">
        <v>5320</v>
      </c>
    </row>
    <row r="83" spans="1:3" x14ac:dyDescent="0.3">
      <c r="A83" s="16" t="s">
        <v>74</v>
      </c>
      <c r="C83" s="24">
        <v>0.75</v>
      </c>
    </row>
    <row r="84" spans="1:3" x14ac:dyDescent="0.3">
      <c r="A84" s="16" t="s">
        <v>75</v>
      </c>
      <c r="C84" s="12">
        <v>3000</v>
      </c>
    </row>
    <row r="85" spans="1:3" x14ac:dyDescent="0.3">
      <c r="A85" s="16" t="s">
        <v>76</v>
      </c>
      <c r="C85" s="12">
        <v>1000</v>
      </c>
    </row>
    <row r="86" spans="1:3" x14ac:dyDescent="0.3">
      <c r="A86" s="16" t="s">
        <v>77</v>
      </c>
      <c r="C86" s="12">
        <v>25</v>
      </c>
    </row>
    <row r="87" spans="1:3" x14ac:dyDescent="0.3">
      <c r="A87" s="16" t="s">
        <v>78</v>
      </c>
      <c r="C87" s="12">
        <v>100</v>
      </c>
    </row>
    <row r="88" spans="1:3" x14ac:dyDescent="0.3">
      <c r="A88" s="16" t="s">
        <v>79</v>
      </c>
      <c r="C88" s="12">
        <v>4</v>
      </c>
    </row>
    <row r="89" spans="1:3" ht="15" thickBot="1" x14ac:dyDescent="0.35">
      <c r="A89" s="17" t="s">
        <v>80</v>
      </c>
      <c r="B89" s="18"/>
      <c r="C89" s="25">
        <v>30</v>
      </c>
    </row>
    <row r="92" spans="1:3" ht="15" thickBot="1" x14ac:dyDescent="0.35">
      <c r="A92" s="96" t="s">
        <v>81</v>
      </c>
      <c r="B92" s="96"/>
      <c r="C92" s="96"/>
    </row>
    <row r="93" spans="1:3" x14ac:dyDescent="0.3">
      <c r="A93" s="14" t="s">
        <v>82</v>
      </c>
      <c r="B93" s="38" t="s">
        <v>83</v>
      </c>
    </row>
    <row r="94" spans="1:3" x14ac:dyDescent="0.3">
      <c r="A94" s="16" t="s">
        <v>115</v>
      </c>
      <c r="B94" s="12">
        <v>3000</v>
      </c>
    </row>
    <row r="95" spans="1:3" x14ac:dyDescent="0.3">
      <c r="A95" s="16" t="s">
        <v>84</v>
      </c>
      <c r="B95" s="12">
        <v>5000</v>
      </c>
    </row>
    <row r="96" spans="1:3" x14ac:dyDescent="0.3">
      <c r="A96" s="16" t="s">
        <v>85</v>
      </c>
      <c r="B96" s="12">
        <v>1700</v>
      </c>
    </row>
    <row r="97" spans="1:3" x14ac:dyDescent="0.3">
      <c r="A97" s="16" t="s">
        <v>86</v>
      </c>
      <c r="B97" s="12">
        <v>2000</v>
      </c>
    </row>
    <row r="98" spans="1:3" ht="15" thickBot="1" x14ac:dyDescent="0.35">
      <c r="A98" s="17" t="s">
        <v>116</v>
      </c>
      <c r="B98" s="25">
        <v>1000000</v>
      </c>
    </row>
    <row r="101" spans="1:3" ht="15" thickBot="1" x14ac:dyDescent="0.35">
      <c r="A101" s="96" t="s">
        <v>87</v>
      </c>
      <c r="B101" s="96"/>
      <c r="C101" s="96"/>
    </row>
    <row r="102" spans="1:3" x14ac:dyDescent="0.3">
      <c r="A102" s="14" t="s">
        <v>88</v>
      </c>
      <c r="B102" s="38">
        <v>2400000</v>
      </c>
    </row>
    <row r="103" spans="1:3" x14ac:dyDescent="0.3">
      <c r="A103" s="21" t="s">
        <v>89</v>
      </c>
      <c r="B103" s="12"/>
    </row>
    <row r="104" spans="1:3" x14ac:dyDescent="0.3">
      <c r="A104" s="16" t="s">
        <v>21</v>
      </c>
      <c r="B104" s="12">
        <v>30</v>
      </c>
    </row>
    <row r="105" spans="1:3" x14ac:dyDescent="0.3">
      <c r="A105" s="16" t="s">
        <v>90</v>
      </c>
      <c r="B105" s="12">
        <v>15</v>
      </c>
    </row>
    <row r="106" spans="1:3" x14ac:dyDescent="0.3">
      <c r="A106" s="16" t="s">
        <v>23</v>
      </c>
      <c r="B106" s="12">
        <v>5</v>
      </c>
    </row>
    <row r="107" spans="1:3" x14ac:dyDescent="0.3">
      <c r="A107" s="16" t="s">
        <v>91</v>
      </c>
      <c r="B107" s="12">
        <v>30</v>
      </c>
    </row>
    <row r="108" spans="1:3" ht="15" thickBot="1" x14ac:dyDescent="0.35">
      <c r="A108" s="17" t="s">
        <v>92</v>
      </c>
      <c r="B108" s="25">
        <v>30</v>
      </c>
    </row>
    <row r="111" spans="1:3" ht="15" thickBot="1" x14ac:dyDescent="0.35">
      <c r="A111" s="96" t="s">
        <v>93</v>
      </c>
      <c r="B111" s="96"/>
      <c r="C111" s="96"/>
    </row>
    <row r="112" spans="1:3" x14ac:dyDescent="0.3">
      <c r="A112" s="14" t="s">
        <v>82</v>
      </c>
      <c r="B112" s="15"/>
      <c r="C112" s="27">
        <v>0.15</v>
      </c>
    </row>
    <row r="113" spans="1:3" ht="15" thickBot="1" x14ac:dyDescent="0.35">
      <c r="A113" s="17" t="s">
        <v>94</v>
      </c>
      <c r="B113" s="18"/>
      <c r="C113" s="28">
        <v>0.1</v>
      </c>
    </row>
    <row r="116" spans="1:3" ht="15" thickBot="1" x14ac:dyDescent="0.35">
      <c r="A116" s="96" t="s">
        <v>95</v>
      </c>
      <c r="B116" s="96"/>
      <c r="C116" s="96"/>
    </row>
    <row r="117" spans="1:3" x14ac:dyDescent="0.3">
      <c r="A117" s="14" t="s">
        <v>96</v>
      </c>
      <c r="B117" s="27">
        <v>1</v>
      </c>
    </row>
    <row r="118" spans="1:3" ht="15" thickBot="1" x14ac:dyDescent="0.35">
      <c r="A118" s="17" t="s">
        <v>97</v>
      </c>
      <c r="B118" s="28">
        <v>0</v>
      </c>
    </row>
    <row r="120" spans="1:3" x14ac:dyDescent="0.3">
      <c r="A120" s="19" t="s">
        <v>98</v>
      </c>
      <c r="B120" s="19"/>
      <c r="C120" s="19"/>
    </row>
    <row r="121" spans="1:3" x14ac:dyDescent="0.3">
      <c r="A121" s="19" t="s">
        <v>99</v>
      </c>
      <c r="B121" s="19"/>
      <c r="C121" s="39">
        <v>0.12</v>
      </c>
    </row>
    <row r="124" spans="1:3" x14ac:dyDescent="0.3">
      <c r="A124" s="41" t="s">
        <v>100</v>
      </c>
      <c r="B124" s="40">
        <v>0.25169999999999998</v>
      </c>
      <c r="C124" s="37"/>
    </row>
    <row r="127" spans="1:3" s="71" customFormat="1" x14ac:dyDescent="0.3">
      <c r="A127" s="71" t="s">
        <v>104</v>
      </c>
    </row>
  </sheetData>
  <mergeCells count="17">
    <mergeCell ref="A116:C116"/>
    <mergeCell ref="A55:D55"/>
    <mergeCell ref="A76:B76"/>
    <mergeCell ref="A79:D79"/>
    <mergeCell ref="A92:C92"/>
    <mergeCell ref="A101:C101"/>
    <mergeCell ref="A111:C111"/>
    <mergeCell ref="A33:D33"/>
    <mergeCell ref="I2:S2"/>
    <mergeCell ref="A2:G2"/>
    <mergeCell ref="B3:F3"/>
    <mergeCell ref="A39:D39"/>
    <mergeCell ref="A10:G10"/>
    <mergeCell ref="A16:G16"/>
    <mergeCell ref="A34:C34"/>
    <mergeCell ref="A35:C35"/>
    <mergeCell ref="A36:C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2E72-CBF5-47D9-8BAE-2E99407AD7CA}">
  <sheetPr>
    <tabColor rgb="FF00B050"/>
  </sheetPr>
  <dimension ref="A2:AQ210"/>
  <sheetViews>
    <sheetView tabSelected="1" workbookViewId="0">
      <pane xSplit="4" ySplit="9" topLeftCell="E10" activePane="bottomRight" state="frozen"/>
      <selection pane="topRight" activeCell="E1" sqref="E1"/>
      <selection pane="bottomLeft" activeCell="A8" sqref="A8"/>
      <selection pane="bottomRight" activeCell="I8" sqref="I8"/>
    </sheetView>
  </sheetViews>
  <sheetFormatPr defaultRowHeight="14.4" x14ac:dyDescent="0.3"/>
  <cols>
    <col min="1" max="1" width="24.6640625" bestFit="1" customWidth="1"/>
    <col min="2" max="2" width="7.5546875" bestFit="1" customWidth="1"/>
    <col min="4" max="4" width="2" bestFit="1" customWidth="1"/>
    <col min="5" max="5" width="9.109375" bestFit="1" customWidth="1"/>
    <col min="6" max="6" width="9.88671875" bestFit="1" customWidth="1"/>
    <col min="7" max="7" width="9" bestFit="1" customWidth="1"/>
    <col min="8" max="40" width="13.44140625" bestFit="1" customWidth="1"/>
  </cols>
  <sheetData>
    <row r="2" spans="1:43" ht="21" x14ac:dyDescent="0.4">
      <c r="I2" s="109" t="s">
        <v>174</v>
      </c>
      <c r="J2" s="109"/>
    </row>
    <row r="4" spans="1:43" x14ac:dyDescent="0.3">
      <c r="A4" s="1" t="s">
        <v>0</v>
      </c>
      <c r="B4" s="1" t="s">
        <v>191</v>
      </c>
    </row>
    <row r="5" spans="1:43" x14ac:dyDescent="0.3">
      <c r="E5" s="5">
        <v>1</v>
      </c>
      <c r="F5" s="5">
        <f>E5+1</f>
        <v>2</v>
      </c>
      <c r="G5" s="5">
        <f>F5+1</f>
        <v>3</v>
      </c>
      <c r="H5" s="5">
        <f t="shared" ref="H5:AN5" si="0">G5+1</f>
        <v>4</v>
      </c>
      <c r="I5" s="5">
        <f t="shared" si="0"/>
        <v>5</v>
      </c>
      <c r="J5" s="5">
        <f t="shared" si="0"/>
        <v>6</v>
      </c>
      <c r="K5" s="5">
        <f t="shared" si="0"/>
        <v>7</v>
      </c>
      <c r="L5" s="5">
        <f t="shared" si="0"/>
        <v>8</v>
      </c>
      <c r="M5" s="5">
        <f t="shared" si="0"/>
        <v>9</v>
      </c>
      <c r="N5" s="5">
        <f t="shared" si="0"/>
        <v>10</v>
      </c>
      <c r="O5" s="5">
        <f t="shared" si="0"/>
        <v>11</v>
      </c>
      <c r="P5" s="5">
        <f t="shared" si="0"/>
        <v>12</v>
      </c>
      <c r="Q5" s="5">
        <f t="shared" si="0"/>
        <v>13</v>
      </c>
      <c r="R5" s="5">
        <f t="shared" si="0"/>
        <v>14</v>
      </c>
      <c r="S5" s="5">
        <f t="shared" si="0"/>
        <v>15</v>
      </c>
      <c r="T5" s="5">
        <f t="shared" si="0"/>
        <v>16</v>
      </c>
      <c r="U5" s="5">
        <f t="shared" si="0"/>
        <v>17</v>
      </c>
      <c r="V5" s="5">
        <f t="shared" si="0"/>
        <v>18</v>
      </c>
      <c r="W5" s="5">
        <f t="shared" si="0"/>
        <v>19</v>
      </c>
      <c r="X5" s="5">
        <f t="shared" si="0"/>
        <v>20</v>
      </c>
      <c r="Y5" s="5">
        <f t="shared" si="0"/>
        <v>21</v>
      </c>
      <c r="Z5" s="5">
        <f t="shared" si="0"/>
        <v>22</v>
      </c>
      <c r="AA5" s="5">
        <f t="shared" si="0"/>
        <v>23</v>
      </c>
      <c r="AB5" s="5">
        <f t="shared" si="0"/>
        <v>24</v>
      </c>
      <c r="AC5" s="5">
        <f t="shared" si="0"/>
        <v>25</v>
      </c>
      <c r="AD5" s="5">
        <f t="shared" si="0"/>
        <v>26</v>
      </c>
      <c r="AE5" s="5">
        <f t="shared" si="0"/>
        <v>27</v>
      </c>
      <c r="AF5" s="5">
        <f t="shared" si="0"/>
        <v>28</v>
      </c>
      <c r="AG5" s="5">
        <f t="shared" si="0"/>
        <v>29</v>
      </c>
      <c r="AH5" s="5">
        <f t="shared" si="0"/>
        <v>30</v>
      </c>
      <c r="AI5" s="5">
        <f t="shared" si="0"/>
        <v>31</v>
      </c>
      <c r="AJ5" s="5">
        <f t="shared" si="0"/>
        <v>32</v>
      </c>
      <c r="AK5" s="5">
        <f t="shared" si="0"/>
        <v>33</v>
      </c>
      <c r="AL5" s="5">
        <f t="shared" si="0"/>
        <v>34</v>
      </c>
      <c r="AM5" s="5">
        <f t="shared" si="0"/>
        <v>35</v>
      </c>
      <c r="AN5" s="5">
        <f t="shared" si="0"/>
        <v>36</v>
      </c>
    </row>
    <row r="6" spans="1:43" x14ac:dyDescent="0.3">
      <c r="E6" s="4">
        <f>EOMONTH(Assumptions!C5,0)</f>
        <v>43951</v>
      </c>
      <c r="F6" s="4">
        <f>EOMONTH(E6,1)</f>
        <v>43982</v>
      </c>
      <c r="G6" s="4">
        <f>EOMONTH(F6,1)</f>
        <v>44012</v>
      </c>
      <c r="H6" s="4">
        <f t="shared" ref="H6:AN6" si="1">EOMONTH(G6,1)</f>
        <v>44043</v>
      </c>
      <c r="I6" s="4">
        <f t="shared" si="1"/>
        <v>44074</v>
      </c>
      <c r="J6" s="4">
        <f t="shared" si="1"/>
        <v>44104</v>
      </c>
      <c r="K6" s="4">
        <f t="shared" si="1"/>
        <v>44135</v>
      </c>
      <c r="L6" s="4">
        <f t="shared" si="1"/>
        <v>44165</v>
      </c>
      <c r="M6" s="4">
        <f t="shared" si="1"/>
        <v>44196</v>
      </c>
      <c r="N6" s="4">
        <f t="shared" si="1"/>
        <v>44227</v>
      </c>
      <c r="O6" s="4">
        <f t="shared" si="1"/>
        <v>44255</v>
      </c>
      <c r="P6" s="4">
        <f t="shared" si="1"/>
        <v>44286</v>
      </c>
      <c r="Q6" s="4">
        <f t="shared" si="1"/>
        <v>44316</v>
      </c>
      <c r="R6" s="4">
        <f t="shared" si="1"/>
        <v>44347</v>
      </c>
      <c r="S6" s="4">
        <f t="shared" si="1"/>
        <v>44377</v>
      </c>
      <c r="T6" s="4">
        <f t="shared" si="1"/>
        <v>44408</v>
      </c>
      <c r="U6" s="4">
        <f t="shared" si="1"/>
        <v>44439</v>
      </c>
      <c r="V6" s="4">
        <f t="shared" si="1"/>
        <v>44469</v>
      </c>
      <c r="W6" s="4">
        <f t="shared" si="1"/>
        <v>44500</v>
      </c>
      <c r="X6" s="4">
        <f t="shared" si="1"/>
        <v>44530</v>
      </c>
      <c r="Y6" s="4">
        <f t="shared" si="1"/>
        <v>44561</v>
      </c>
      <c r="Z6" s="4">
        <f t="shared" si="1"/>
        <v>44592</v>
      </c>
      <c r="AA6" s="4">
        <f t="shared" si="1"/>
        <v>44620</v>
      </c>
      <c r="AB6" s="4">
        <f t="shared" si="1"/>
        <v>44651</v>
      </c>
      <c r="AC6" s="4">
        <f t="shared" si="1"/>
        <v>44681</v>
      </c>
      <c r="AD6" s="4">
        <f t="shared" si="1"/>
        <v>44712</v>
      </c>
      <c r="AE6" s="4">
        <f t="shared" si="1"/>
        <v>44742</v>
      </c>
      <c r="AF6" s="4">
        <f t="shared" si="1"/>
        <v>44773</v>
      </c>
      <c r="AG6" s="4">
        <f t="shared" si="1"/>
        <v>44804</v>
      </c>
      <c r="AH6" s="4">
        <f t="shared" si="1"/>
        <v>44834</v>
      </c>
      <c r="AI6" s="4">
        <f t="shared" si="1"/>
        <v>44865</v>
      </c>
      <c r="AJ6" s="4">
        <f t="shared" si="1"/>
        <v>44895</v>
      </c>
      <c r="AK6" s="4">
        <f t="shared" si="1"/>
        <v>44926</v>
      </c>
      <c r="AL6" s="4">
        <f t="shared" si="1"/>
        <v>44957</v>
      </c>
      <c r="AM6" s="4">
        <f t="shared" si="1"/>
        <v>44985</v>
      </c>
      <c r="AN6" s="4">
        <f t="shared" si="1"/>
        <v>45016</v>
      </c>
      <c r="AO6" s="2"/>
    </row>
    <row r="7" spans="1:43" x14ac:dyDescent="0.3">
      <c r="A7" t="s">
        <v>8</v>
      </c>
      <c r="E7" s="42">
        <v>0</v>
      </c>
      <c r="F7" s="42">
        <v>0</v>
      </c>
      <c r="G7" s="42">
        <v>0</v>
      </c>
      <c r="H7" s="42">
        <v>31</v>
      </c>
      <c r="I7" s="42">
        <v>31</v>
      </c>
      <c r="J7" s="42">
        <v>30</v>
      </c>
      <c r="K7" s="42">
        <v>31</v>
      </c>
      <c r="L7" s="42">
        <v>30</v>
      </c>
      <c r="M7" s="42">
        <v>31</v>
      </c>
      <c r="N7" s="42">
        <v>31</v>
      </c>
      <c r="O7" s="42">
        <v>28</v>
      </c>
      <c r="P7" s="42">
        <v>31</v>
      </c>
      <c r="Q7" s="42">
        <v>30</v>
      </c>
      <c r="R7" s="42">
        <v>31</v>
      </c>
      <c r="S7" s="42">
        <v>30</v>
      </c>
      <c r="T7" s="42">
        <v>31</v>
      </c>
      <c r="U7" s="42">
        <v>31</v>
      </c>
      <c r="V7" s="42">
        <v>30</v>
      </c>
      <c r="W7" s="42">
        <v>31</v>
      </c>
      <c r="X7" s="42">
        <v>30</v>
      </c>
      <c r="Y7" s="42">
        <v>31</v>
      </c>
      <c r="Z7" s="42">
        <v>31</v>
      </c>
      <c r="AA7" s="42">
        <v>28</v>
      </c>
      <c r="AB7" s="42">
        <v>31</v>
      </c>
      <c r="AC7" s="42">
        <v>30</v>
      </c>
      <c r="AD7" s="42">
        <v>31</v>
      </c>
      <c r="AE7" s="42">
        <v>30</v>
      </c>
      <c r="AF7" s="42">
        <v>31</v>
      </c>
      <c r="AG7" s="42">
        <v>31</v>
      </c>
      <c r="AH7" s="42">
        <v>30</v>
      </c>
      <c r="AI7" s="42">
        <v>31</v>
      </c>
      <c r="AJ7" s="42">
        <v>30</v>
      </c>
      <c r="AK7" s="42">
        <v>31</v>
      </c>
      <c r="AL7" s="42">
        <v>31</v>
      </c>
      <c r="AM7" s="42">
        <v>28</v>
      </c>
      <c r="AN7" s="42">
        <v>31</v>
      </c>
      <c r="AO7" s="42"/>
      <c r="AP7" s="42"/>
      <c r="AQ7" s="42"/>
    </row>
    <row r="8" spans="1:43" x14ac:dyDescent="0.3">
      <c r="A8" t="s">
        <v>9</v>
      </c>
      <c r="E8" s="42">
        <f>IF(E7&gt;0,NETWORKDAYS(D6+1,E6),0)</f>
        <v>0</v>
      </c>
      <c r="F8" s="42">
        <f t="shared" ref="F8:I8" si="2">IF(F7&gt;0,NETWORKDAYS(E6+1,F6),0)</f>
        <v>0</v>
      </c>
      <c r="G8" s="42">
        <f t="shared" si="2"/>
        <v>0</v>
      </c>
      <c r="H8" s="42">
        <f t="shared" si="2"/>
        <v>23</v>
      </c>
      <c r="I8" s="42">
        <f t="shared" si="2"/>
        <v>21</v>
      </c>
      <c r="J8" s="42">
        <f t="shared" ref="J8" si="3">IF(J7&gt;0,NETWORKDAYS(I6+1,J6),0)</f>
        <v>22</v>
      </c>
      <c r="K8" s="42">
        <f t="shared" ref="K8" si="4">IF(K7&gt;0,NETWORKDAYS(J6+1,K6),0)</f>
        <v>22</v>
      </c>
      <c r="L8" s="42">
        <f t="shared" ref="L8:M8" si="5">IF(L7&gt;0,NETWORKDAYS(K6+1,L6),0)</f>
        <v>21</v>
      </c>
      <c r="M8" s="42">
        <f t="shared" si="5"/>
        <v>23</v>
      </c>
      <c r="N8" s="42">
        <f t="shared" ref="N8" si="6">IF(N7&gt;0,NETWORKDAYS(M6+1,N6),0)</f>
        <v>21</v>
      </c>
      <c r="O8" s="42">
        <f t="shared" ref="O8" si="7">IF(O7&gt;0,NETWORKDAYS(N6+1,O6),0)</f>
        <v>20</v>
      </c>
      <c r="P8" s="42">
        <f t="shared" ref="P8:Q8" si="8">IF(P7&gt;0,NETWORKDAYS(O6+1,P6),0)</f>
        <v>23</v>
      </c>
      <c r="Q8" s="42">
        <f t="shared" si="8"/>
        <v>22</v>
      </c>
      <c r="R8" s="42">
        <f t="shared" ref="R8" si="9">IF(R7&gt;0,NETWORKDAYS(Q6+1,R6),0)</f>
        <v>21</v>
      </c>
      <c r="S8" s="42">
        <f t="shared" ref="S8" si="10">IF(S7&gt;0,NETWORKDAYS(R6+1,S6),0)</f>
        <v>22</v>
      </c>
      <c r="T8" s="42">
        <f t="shared" ref="T8:U8" si="11">IF(T7&gt;0,NETWORKDAYS(S6+1,T6),0)</f>
        <v>22</v>
      </c>
      <c r="U8" s="42">
        <f t="shared" si="11"/>
        <v>22</v>
      </c>
      <c r="V8" s="42">
        <f t="shared" ref="V8" si="12">IF(V7&gt;0,NETWORKDAYS(U6+1,V6),0)</f>
        <v>22</v>
      </c>
      <c r="W8" s="42">
        <f t="shared" ref="W8" si="13">IF(W7&gt;0,NETWORKDAYS(V6+1,W6),0)</f>
        <v>21</v>
      </c>
      <c r="X8" s="42">
        <f t="shared" ref="X8:Y8" si="14">IF(X7&gt;0,NETWORKDAYS(W6+1,X6),0)</f>
        <v>22</v>
      </c>
      <c r="Y8" s="42">
        <f t="shared" si="14"/>
        <v>23</v>
      </c>
      <c r="Z8" s="42">
        <f t="shared" ref="Z8" si="15">IF(Z7&gt;0,NETWORKDAYS(Y6+1,Z6),0)</f>
        <v>21</v>
      </c>
      <c r="AA8" s="42">
        <f t="shared" ref="AA8" si="16">IF(AA7&gt;0,NETWORKDAYS(Z6+1,AA6),0)</f>
        <v>20</v>
      </c>
      <c r="AB8" s="42">
        <f t="shared" ref="AB8:AC8" si="17">IF(AB7&gt;0,NETWORKDAYS(AA6+1,AB6),0)</f>
        <v>23</v>
      </c>
      <c r="AC8" s="42">
        <f t="shared" si="17"/>
        <v>21</v>
      </c>
      <c r="AD8" s="42">
        <f t="shared" ref="AD8" si="18">IF(AD7&gt;0,NETWORKDAYS(AC6+1,AD6),0)</f>
        <v>22</v>
      </c>
      <c r="AE8" s="42">
        <f t="shared" ref="AE8" si="19">IF(AE7&gt;0,NETWORKDAYS(AD6+1,AE6),0)</f>
        <v>22</v>
      </c>
      <c r="AF8" s="42">
        <f t="shared" ref="AF8:AG8" si="20">IF(AF7&gt;0,NETWORKDAYS(AE6+1,AF6),0)</f>
        <v>21</v>
      </c>
      <c r="AG8" s="42">
        <f t="shared" si="20"/>
        <v>23</v>
      </c>
      <c r="AH8" s="42">
        <f t="shared" ref="AH8" si="21">IF(AH7&gt;0,NETWORKDAYS(AG6+1,AH6),0)</f>
        <v>22</v>
      </c>
      <c r="AI8" s="42">
        <f t="shared" ref="AI8" si="22">IF(AI7&gt;0,NETWORKDAYS(AH6+1,AI6),0)</f>
        <v>21</v>
      </c>
      <c r="AJ8" s="42">
        <f t="shared" ref="AJ8:AK8" si="23">IF(AJ7&gt;0,NETWORKDAYS(AI6+1,AJ6),0)</f>
        <v>22</v>
      </c>
      <c r="AK8" s="42">
        <f t="shared" si="23"/>
        <v>22</v>
      </c>
      <c r="AL8" s="42">
        <f t="shared" ref="AL8" si="24">IF(AL7&gt;0,NETWORKDAYS(AK6+1,AL6),0)</f>
        <v>22</v>
      </c>
      <c r="AM8" s="42">
        <f t="shared" ref="AM8" si="25">IF(AM7&gt;0,NETWORKDAYS(AL6+1,AM6),0)</f>
        <v>20</v>
      </c>
      <c r="AN8" s="42">
        <f t="shared" ref="AN8" si="26">IF(AN7&gt;0,NETWORKDAYS(AM6+1,AN6),0)</f>
        <v>23</v>
      </c>
      <c r="AO8" s="42"/>
      <c r="AP8" s="42"/>
      <c r="AQ8" s="42"/>
    </row>
    <row r="9" spans="1:43" x14ac:dyDescent="0.3">
      <c r="A9" t="s">
        <v>10</v>
      </c>
      <c r="E9" s="42">
        <f>E7-E8</f>
        <v>0</v>
      </c>
      <c r="F9" s="42">
        <f t="shared" ref="F9:AN9" si="27">F7-F8</f>
        <v>0</v>
      </c>
      <c r="G9" s="42">
        <f t="shared" si="27"/>
        <v>0</v>
      </c>
      <c r="H9" s="42">
        <f t="shared" si="27"/>
        <v>8</v>
      </c>
      <c r="I9" s="42">
        <f t="shared" si="27"/>
        <v>10</v>
      </c>
      <c r="J9" s="42">
        <f t="shared" si="27"/>
        <v>8</v>
      </c>
      <c r="K9" s="42">
        <f t="shared" si="27"/>
        <v>9</v>
      </c>
      <c r="L9" s="42">
        <f t="shared" si="27"/>
        <v>9</v>
      </c>
      <c r="M9" s="42">
        <f t="shared" si="27"/>
        <v>8</v>
      </c>
      <c r="N9" s="42">
        <f t="shared" si="27"/>
        <v>10</v>
      </c>
      <c r="O9" s="42">
        <f t="shared" si="27"/>
        <v>8</v>
      </c>
      <c r="P9" s="42">
        <f t="shared" si="27"/>
        <v>8</v>
      </c>
      <c r="Q9" s="42">
        <f t="shared" si="27"/>
        <v>8</v>
      </c>
      <c r="R9" s="42">
        <f t="shared" si="27"/>
        <v>10</v>
      </c>
      <c r="S9" s="42">
        <f t="shared" si="27"/>
        <v>8</v>
      </c>
      <c r="T9" s="42">
        <f t="shared" si="27"/>
        <v>9</v>
      </c>
      <c r="U9" s="42">
        <f t="shared" si="27"/>
        <v>9</v>
      </c>
      <c r="V9" s="42">
        <f t="shared" si="27"/>
        <v>8</v>
      </c>
      <c r="W9" s="42">
        <f t="shared" si="27"/>
        <v>10</v>
      </c>
      <c r="X9" s="42">
        <f t="shared" si="27"/>
        <v>8</v>
      </c>
      <c r="Y9" s="42">
        <f t="shared" si="27"/>
        <v>8</v>
      </c>
      <c r="Z9" s="42">
        <f t="shared" si="27"/>
        <v>10</v>
      </c>
      <c r="AA9" s="42">
        <f t="shared" si="27"/>
        <v>8</v>
      </c>
      <c r="AB9" s="42">
        <f t="shared" si="27"/>
        <v>8</v>
      </c>
      <c r="AC9" s="42">
        <f t="shared" si="27"/>
        <v>9</v>
      </c>
      <c r="AD9" s="42">
        <f t="shared" si="27"/>
        <v>9</v>
      </c>
      <c r="AE9" s="42">
        <f t="shared" si="27"/>
        <v>8</v>
      </c>
      <c r="AF9" s="42">
        <f t="shared" si="27"/>
        <v>10</v>
      </c>
      <c r="AG9" s="42">
        <f t="shared" si="27"/>
        <v>8</v>
      </c>
      <c r="AH9" s="42">
        <f t="shared" si="27"/>
        <v>8</v>
      </c>
      <c r="AI9" s="42">
        <f t="shared" si="27"/>
        <v>10</v>
      </c>
      <c r="AJ9" s="42">
        <f t="shared" si="27"/>
        <v>8</v>
      </c>
      <c r="AK9" s="42">
        <f t="shared" si="27"/>
        <v>9</v>
      </c>
      <c r="AL9" s="42">
        <f t="shared" si="27"/>
        <v>9</v>
      </c>
      <c r="AM9" s="42">
        <f t="shared" si="27"/>
        <v>8</v>
      </c>
      <c r="AN9" s="42">
        <f t="shared" si="27"/>
        <v>8</v>
      </c>
      <c r="AO9" s="42"/>
      <c r="AP9" s="42"/>
      <c r="AQ9" s="42"/>
    </row>
    <row r="10" spans="1:43" x14ac:dyDescent="0.3"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3">
      <c r="A11" s="6" t="s">
        <v>11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3">
      <c r="A12" s="6" t="s">
        <v>14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3">
      <c r="A13" t="s">
        <v>12</v>
      </c>
      <c r="E13" s="42">
        <f>IF(E$8&gt;0,MIN(MAX(Assumptions!$B$28*Assumptions!$B$27,'Monthly Revenue'!D13*(1+Assumptions!$B$29)),Assumptions!$B$30),0)</f>
        <v>0</v>
      </c>
      <c r="F13" s="42">
        <f>IF(F$8&gt;0,MIN(MAX(Assumptions!$B$28*Assumptions!$B$27,'Monthly Revenue'!E13*(1+Assumptions!$B$29)),Assumptions!$B$30),0)</f>
        <v>0</v>
      </c>
      <c r="G13" s="42">
        <f>IF(G$8&gt;0,MIN(MAX(Assumptions!$B$28*Assumptions!$B$27,'Monthly Revenue'!F13*(1+Assumptions!$B$29)),Assumptions!$B$30),0)</f>
        <v>0</v>
      </c>
      <c r="H13" s="42">
        <f>IF(H$8&gt;0,MIN(MAX(Assumptions!$B$28*Assumptions!$B$27,'Monthly Revenue'!G13*(1+Assumptions!$B$29)),Assumptions!$B$30),0)</f>
        <v>20</v>
      </c>
      <c r="I13" s="42">
        <f>IF(I$8&gt;0,MIN(MAX(Assumptions!$B$28*Assumptions!$B$27,'Monthly Revenue'!H13*(1+Assumptions!$B$29)),Assumptions!$B$30),0)</f>
        <v>20.399999999999999</v>
      </c>
      <c r="J13" s="42">
        <f>IF(J$8&gt;0,MIN(MAX(Assumptions!$B$28*Assumptions!$B$27,'Monthly Revenue'!I13*(1+Assumptions!$B$29)),Assumptions!$B$30),0)</f>
        <v>20.808</v>
      </c>
      <c r="K13" s="42">
        <f>IF(K$8&gt;0,MIN(MAX(Assumptions!$B$28*Assumptions!$B$27,'Monthly Revenue'!J13*(1+Assumptions!$B$29)),Assumptions!$B$30),0)</f>
        <v>21.224160000000001</v>
      </c>
      <c r="L13" s="42">
        <f>IF(L$8&gt;0,MIN(MAX(Assumptions!$B$28*Assumptions!$B$27,'Monthly Revenue'!K13*(1+Assumptions!$B$29)),Assumptions!$B$30),0)</f>
        <v>21.648643200000002</v>
      </c>
      <c r="M13" s="42">
        <f>IF(M$8&gt;0,MIN(MAX(Assumptions!$B$28*Assumptions!$B$27,'Monthly Revenue'!L13*(1+Assumptions!$B$29)),Assumptions!$B$30),0)</f>
        <v>22.081616064000002</v>
      </c>
      <c r="N13" s="42">
        <f>IF(N$8&gt;0,MIN(MAX(Assumptions!$B$28*Assumptions!$B$27,'Monthly Revenue'!M13*(1+Assumptions!$B$29)),Assumptions!$B$30),0)</f>
        <v>22.523248385280002</v>
      </c>
      <c r="O13" s="42">
        <f>IF(O$8&gt;0,MIN(MAX(Assumptions!$B$28*Assumptions!$B$27,'Monthly Revenue'!N13*(1+Assumptions!$B$29)),Assumptions!$B$30),0)</f>
        <v>22.973713352985602</v>
      </c>
      <c r="P13" s="42">
        <f>IF(P$8&gt;0,MIN(MAX(Assumptions!$B$28*Assumptions!$B$27,'Monthly Revenue'!O13*(1+Assumptions!$B$29)),Assumptions!$B$30),0)</f>
        <v>23.433187620045313</v>
      </c>
      <c r="Q13" s="42">
        <f>IF(Q$8&gt;0,MIN(MAX(Assumptions!$B$28*Assumptions!$B$27,'Monthly Revenue'!P13*(1+Assumptions!$B$29)),Assumptions!$B$30),0)</f>
        <v>23.90185137244622</v>
      </c>
      <c r="R13" s="42">
        <f>IF(R$8&gt;0,MIN(MAX(Assumptions!$B$28*Assumptions!$B$27,'Monthly Revenue'!Q13*(1+Assumptions!$B$29)),Assumptions!$B$30),0)</f>
        <v>24.379888399895144</v>
      </c>
      <c r="S13" s="42">
        <f>IF(S$8&gt;0,MIN(MAX(Assumptions!$B$28*Assumptions!$B$27,'Monthly Revenue'!R13*(1+Assumptions!$B$29)),Assumptions!$B$30),0)</f>
        <v>24.867486167893048</v>
      </c>
      <c r="T13" s="42">
        <f>IF(T$8&gt;0,MIN(MAX(Assumptions!$B$28*Assumptions!$B$27,'Monthly Revenue'!S13*(1+Assumptions!$B$29)),Assumptions!$B$30),0)</f>
        <v>25.364835891250909</v>
      </c>
      <c r="U13" s="42">
        <f>IF(U$8&gt;0,MIN(MAX(Assumptions!$B$28*Assumptions!$B$27,'Monthly Revenue'!T13*(1+Assumptions!$B$29)),Assumptions!$B$30),0)</f>
        <v>25.872132609075926</v>
      </c>
      <c r="V13" s="42">
        <f>IF(V$8&gt;0,MIN(MAX(Assumptions!$B$28*Assumptions!$B$27,'Monthly Revenue'!U13*(1+Assumptions!$B$29)),Assumptions!$B$30),0)</f>
        <v>26.389575261257445</v>
      </c>
      <c r="W13" s="42">
        <f>IF(W$8&gt;0,MIN(MAX(Assumptions!$B$28*Assumptions!$B$27,'Monthly Revenue'!V13*(1+Assumptions!$B$29)),Assumptions!$B$30),0)</f>
        <v>26.917366766482594</v>
      </c>
      <c r="X13" s="42">
        <f>IF(X$8&gt;0,MIN(MAX(Assumptions!$B$28*Assumptions!$B$27,'Monthly Revenue'!W13*(1+Assumptions!$B$29)),Assumptions!$B$30),0)</f>
        <v>27.455714101812248</v>
      </c>
      <c r="Y13" s="42">
        <f>IF(Y$8&gt;0,MIN(MAX(Assumptions!$B$28*Assumptions!$B$27,'Monthly Revenue'!X13*(1+Assumptions!$B$29)),Assumptions!$B$30),0)</f>
        <v>28.004828383848494</v>
      </c>
      <c r="Z13" s="42">
        <f>IF(Z$8&gt;0,MIN(MAX(Assumptions!$B$28*Assumptions!$B$27,'Monthly Revenue'!Y13*(1+Assumptions!$B$29)),Assumptions!$B$30),0)</f>
        <v>28.564924951525466</v>
      </c>
      <c r="AA13" s="42">
        <f>IF(AA$8&gt;0,MIN(MAX(Assumptions!$B$28*Assumptions!$B$27,'Monthly Revenue'!Z13*(1+Assumptions!$B$29)),Assumptions!$B$30),0)</f>
        <v>29.136223450555974</v>
      </c>
      <c r="AB13" s="42">
        <f>IF(AB$8&gt;0,MIN(MAX(Assumptions!$B$28*Assumptions!$B$27,'Monthly Revenue'!AA13*(1+Assumptions!$B$29)),Assumptions!$B$30),0)</f>
        <v>29.718947919567093</v>
      </c>
      <c r="AC13" s="42">
        <f>IF(AC$8&gt;0,MIN(MAX(Assumptions!$B$28*Assumptions!$B$27,'Monthly Revenue'!AB13*(1+Assumptions!$B$29)),Assumptions!$B$30),0)</f>
        <v>30.313326877958435</v>
      </c>
      <c r="AD13" s="42">
        <f>IF(AD$8&gt;0,MIN(MAX(Assumptions!$B$28*Assumptions!$B$27,'Monthly Revenue'!AC13*(1+Assumptions!$B$29)),Assumptions!$B$30),0)</f>
        <v>30.919593415517603</v>
      </c>
      <c r="AE13" s="42">
        <f>IF(AE$8&gt;0,MIN(MAX(Assumptions!$B$28*Assumptions!$B$27,'Monthly Revenue'!AD13*(1+Assumptions!$B$29)),Assumptions!$B$30),0)</f>
        <v>31.537985283827958</v>
      </c>
      <c r="AF13" s="42">
        <f>IF(AF$8&gt;0,MIN(MAX(Assumptions!$B$28*Assumptions!$B$27,'Monthly Revenue'!AE13*(1+Assumptions!$B$29)),Assumptions!$B$30),0)</f>
        <v>32.168744989504518</v>
      </c>
      <c r="AG13" s="42">
        <f>IF(AG$8&gt;0,MIN(MAX(Assumptions!$B$28*Assumptions!$B$27,'Monthly Revenue'!AF13*(1+Assumptions!$B$29)),Assumptions!$B$30),0)</f>
        <v>32.812119889294607</v>
      </c>
      <c r="AH13" s="42">
        <f>IF(AH$8&gt;0,MIN(MAX(Assumptions!$B$28*Assumptions!$B$27,'Monthly Revenue'!AG13*(1+Assumptions!$B$29)),Assumptions!$B$30),0)</f>
        <v>33.468362287080502</v>
      </c>
      <c r="AI13" s="42">
        <f>IF(AI$8&gt;0,MIN(MAX(Assumptions!$B$28*Assumptions!$B$27,'Monthly Revenue'!AH13*(1+Assumptions!$B$29)),Assumptions!$B$30),0)</f>
        <v>34.137729532822114</v>
      </c>
      <c r="AJ13" s="42">
        <f>IF(AJ$8&gt;0,MIN(MAX(Assumptions!$B$28*Assumptions!$B$27,'Monthly Revenue'!AI13*(1+Assumptions!$B$29)),Assumptions!$B$30),0)</f>
        <v>34.820484123478558</v>
      </c>
      <c r="AK13" s="42">
        <f>IF(AK$8&gt;0,MIN(MAX(Assumptions!$B$28*Assumptions!$B$27,'Monthly Revenue'!AJ13*(1+Assumptions!$B$29)),Assumptions!$B$30),0)</f>
        <v>35.516893805948129</v>
      </c>
      <c r="AL13" s="42">
        <f>IF(AL$8&gt;0,MIN(MAX(Assumptions!$B$28*Assumptions!$B$27,'Monthly Revenue'!AK13*(1+Assumptions!$B$29)),Assumptions!$B$30),0)</f>
        <v>36.227231682067092</v>
      </c>
      <c r="AM13" s="42">
        <f>IF(AM$8&gt;0,MIN(MAX(Assumptions!$B$28*Assumptions!$B$27,'Monthly Revenue'!AL13*(1+Assumptions!$B$29)),Assumptions!$B$30),0)</f>
        <v>36.951776315708436</v>
      </c>
      <c r="AN13" s="42">
        <f>IF(AN$8&gt;0,MIN(MAX(Assumptions!$B$28*Assumptions!$B$27,'Monthly Revenue'!AM13*(1+Assumptions!$B$29)),Assumptions!$B$30),0)</f>
        <v>37.690811842022605</v>
      </c>
      <c r="AO13" s="42"/>
      <c r="AP13" s="42"/>
      <c r="AQ13" s="42"/>
    </row>
    <row r="14" spans="1:43" x14ac:dyDescent="0.3">
      <c r="A14" t="s">
        <v>13</v>
      </c>
      <c r="E14" s="42">
        <f>IF(E$8&gt;0,MIN(MAX(Assumptions!$F$28*Assumptions!$F$27,'Monthly Revenue'!D14*(1+Assumptions!$F$29)),Assumptions!$F$30),0)</f>
        <v>0</v>
      </c>
      <c r="F14" s="42">
        <f>IF(F$8&gt;0,MIN(MAX(Assumptions!$F$28*Assumptions!$F$27,'Monthly Revenue'!E14*(1+Assumptions!$F$29)),Assumptions!$F$30),0)</f>
        <v>0</v>
      </c>
      <c r="G14" s="42">
        <f>IF(G$8&gt;0,MIN(MAX(Assumptions!$F$28*Assumptions!$F$27,'Monthly Revenue'!F14*(1+Assumptions!$F$29)),Assumptions!$F$30),0)</f>
        <v>0</v>
      </c>
      <c r="H14" s="42">
        <f>IF(H$8&gt;0,MIN(MAX(Assumptions!$F$28*Assumptions!$F$27,'Monthly Revenue'!G14*(1+Assumptions!$F$29)),Assumptions!$F$30),0)</f>
        <v>26</v>
      </c>
      <c r="I14" s="42">
        <f>IF(I$8&gt;0,MIN(MAX(Assumptions!$F$28*Assumptions!$F$27,'Monthly Revenue'!H14*(1+Assumptions!$F$29)),Assumptions!$F$30),0)</f>
        <v>26.52</v>
      </c>
      <c r="J14" s="42">
        <f>IF(J$8&gt;0,MIN(MAX(Assumptions!$F$28*Assumptions!$F$27,'Monthly Revenue'!I14*(1+Assumptions!$F$29)),Assumptions!$F$30),0)</f>
        <v>27.0504</v>
      </c>
      <c r="K14" s="42">
        <f>IF(K$8&gt;0,MIN(MAX(Assumptions!$F$28*Assumptions!$F$27,'Monthly Revenue'!J14*(1+Assumptions!$F$29)),Assumptions!$F$30),0)</f>
        <v>27.591408000000001</v>
      </c>
      <c r="L14" s="42">
        <f>IF(L$8&gt;0,MIN(MAX(Assumptions!$F$28*Assumptions!$F$27,'Monthly Revenue'!K14*(1+Assumptions!$F$29)),Assumptions!$F$30),0)</f>
        <v>28.143236160000001</v>
      </c>
      <c r="M14" s="42">
        <f>IF(M$8&gt;0,MIN(MAX(Assumptions!$F$28*Assumptions!$F$27,'Monthly Revenue'!L14*(1+Assumptions!$F$29)),Assumptions!$F$30),0)</f>
        <v>28.706100883200001</v>
      </c>
      <c r="N14" s="42">
        <f>IF(N$8&gt;0,MIN(MAX(Assumptions!$F$28*Assumptions!$F$27,'Monthly Revenue'!M14*(1+Assumptions!$F$29)),Assumptions!$F$30),0)</f>
        <v>29.280222900864</v>
      </c>
      <c r="O14" s="42">
        <f>IF(O$8&gt;0,MIN(MAX(Assumptions!$F$28*Assumptions!$F$27,'Monthly Revenue'!N14*(1+Assumptions!$F$29)),Assumptions!$F$30),0)</f>
        <v>29.86582735888128</v>
      </c>
      <c r="P14" s="42">
        <f>IF(P$8&gt;0,MIN(MAX(Assumptions!$F$28*Assumptions!$F$27,'Monthly Revenue'!O14*(1+Assumptions!$F$29)),Assumptions!$F$30),0)</f>
        <v>30.463143906058907</v>
      </c>
      <c r="Q14" s="42">
        <f>IF(Q$8&gt;0,MIN(MAX(Assumptions!$F$28*Assumptions!$F$27,'Monthly Revenue'!P14*(1+Assumptions!$F$29)),Assumptions!$F$30),0)</f>
        <v>31.072406784180085</v>
      </c>
      <c r="R14" s="42">
        <f>IF(R$8&gt;0,MIN(MAX(Assumptions!$F$28*Assumptions!$F$27,'Monthly Revenue'!Q14*(1+Assumptions!$F$29)),Assumptions!$F$30),0)</f>
        <v>31.693854919863689</v>
      </c>
      <c r="S14" s="42">
        <f>IF(S$8&gt;0,MIN(MAX(Assumptions!$F$28*Assumptions!$F$27,'Monthly Revenue'!R14*(1+Assumptions!$F$29)),Assumptions!$F$30),0)</f>
        <v>32.32773201826096</v>
      </c>
      <c r="T14" s="42">
        <f>IF(T$8&gt;0,MIN(MAX(Assumptions!$F$28*Assumptions!$F$27,'Monthly Revenue'!S14*(1+Assumptions!$F$29)),Assumptions!$F$30),0)</f>
        <v>32.974286658626177</v>
      </c>
      <c r="U14" s="42">
        <f>IF(U$8&gt;0,MIN(MAX(Assumptions!$F$28*Assumptions!$F$27,'Monthly Revenue'!T14*(1+Assumptions!$F$29)),Assumptions!$F$30),0)</f>
        <v>33.633772391798701</v>
      </c>
      <c r="V14" s="42">
        <f>IF(V$8&gt;0,MIN(MAX(Assumptions!$F$28*Assumptions!$F$27,'Monthly Revenue'!U14*(1+Assumptions!$F$29)),Assumptions!$F$30),0)</f>
        <v>34.306447839634679</v>
      </c>
      <c r="W14" s="42">
        <f>IF(W$8&gt;0,MIN(MAX(Assumptions!$F$28*Assumptions!$F$27,'Monthly Revenue'!V14*(1+Assumptions!$F$29)),Assumptions!$F$30),0)</f>
        <v>34.992576796427372</v>
      </c>
      <c r="X14" s="42">
        <f>IF(X$8&gt;0,MIN(MAX(Assumptions!$F$28*Assumptions!$F$27,'Monthly Revenue'!W14*(1+Assumptions!$F$29)),Assumptions!$F$30),0)</f>
        <v>35.692428332355917</v>
      </c>
      <c r="Y14" s="42">
        <f>IF(Y$8&gt;0,MIN(MAX(Assumptions!$F$28*Assumptions!$F$27,'Monthly Revenue'!X14*(1+Assumptions!$F$29)),Assumptions!$F$30),0)</f>
        <v>36.406276899003032</v>
      </c>
      <c r="Z14" s="42">
        <f>IF(Z$8&gt;0,MIN(MAX(Assumptions!$F$28*Assumptions!$F$27,'Monthly Revenue'!Y14*(1+Assumptions!$F$29)),Assumptions!$F$30),0)</f>
        <v>37.134402436983095</v>
      </c>
      <c r="AA14" s="42">
        <f>IF(AA$8&gt;0,MIN(MAX(Assumptions!$F$28*Assumptions!$F$27,'Monthly Revenue'!Z14*(1+Assumptions!$F$29)),Assumptions!$F$30),0)</f>
        <v>37.877090485722761</v>
      </c>
      <c r="AB14" s="42">
        <f>IF(AB$8&gt;0,MIN(MAX(Assumptions!$F$28*Assumptions!$F$27,'Monthly Revenue'!AA14*(1+Assumptions!$F$29)),Assumptions!$F$30),0)</f>
        <v>38.634632295437214</v>
      </c>
      <c r="AC14" s="42">
        <f>IF(AC$8&gt;0,MIN(MAX(Assumptions!$F$28*Assumptions!$F$27,'Monthly Revenue'!AB14*(1+Assumptions!$F$29)),Assumptions!$F$30),0)</f>
        <v>39.407324941345962</v>
      </c>
      <c r="AD14" s="42">
        <f>IF(AD$8&gt;0,MIN(MAX(Assumptions!$F$28*Assumptions!$F$27,'Monthly Revenue'!AC14*(1+Assumptions!$F$29)),Assumptions!$F$30),0)</f>
        <v>40.195471440172881</v>
      </c>
      <c r="AE14" s="42">
        <f>IF(AE$8&gt;0,MIN(MAX(Assumptions!$F$28*Assumptions!$F$27,'Monthly Revenue'!AD14*(1+Assumptions!$F$29)),Assumptions!$F$30),0)</f>
        <v>40.999380868976338</v>
      </c>
      <c r="AF14" s="42">
        <f>IF(AF$8&gt;0,MIN(MAX(Assumptions!$F$28*Assumptions!$F$27,'Monthly Revenue'!AE14*(1+Assumptions!$F$29)),Assumptions!$F$30),0)</f>
        <v>41.819368486355863</v>
      </c>
      <c r="AG14" s="42">
        <f>IF(AG$8&gt;0,MIN(MAX(Assumptions!$F$28*Assumptions!$F$27,'Monthly Revenue'!AF14*(1+Assumptions!$F$29)),Assumptions!$F$30),0)</f>
        <v>42.655755856082983</v>
      </c>
      <c r="AH14" s="42">
        <f>IF(AH$8&gt;0,MIN(MAX(Assumptions!$F$28*Assumptions!$F$27,'Monthly Revenue'!AG14*(1+Assumptions!$F$29)),Assumptions!$F$30),0)</f>
        <v>43.508870973204644</v>
      </c>
      <c r="AI14" s="42">
        <f>IF(AI$8&gt;0,MIN(MAX(Assumptions!$F$28*Assumptions!$F$27,'Monthly Revenue'!AH14*(1+Assumptions!$F$29)),Assumptions!$F$30),0)</f>
        <v>44.379048392668736</v>
      </c>
      <c r="AJ14" s="42">
        <f>IF(AJ$8&gt;0,MIN(MAX(Assumptions!$F$28*Assumptions!$F$27,'Monthly Revenue'!AI14*(1+Assumptions!$F$29)),Assumptions!$F$30),0)</f>
        <v>45.26662936052211</v>
      </c>
      <c r="AK14" s="42">
        <f>IF(AK$8&gt;0,MIN(MAX(Assumptions!$F$28*Assumptions!$F$27,'Monthly Revenue'!AJ14*(1+Assumptions!$F$29)),Assumptions!$F$30),0)</f>
        <v>46.171961947732555</v>
      </c>
      <c r="AL14" s="42">
        <f>IF(AL$8&gt;0,MIN(MAX(Assumptions!$F$28*Assumptions!$F$27,'Monthly Revenue'!AK14*(1+Assumptions!$F$29)),Assumptions!$F$30),0)</f>
        <v>47.095401186687205</v>
      </c>
      <c r="AM14" s="42">
        <f>IF(AM$8&gt;0,MIN(MAX(Assumptions!$F$28*Assumptions!$F$27,'Monthly Revenue'!AL14*(1+Assumptions!$F$29)),Assumptions!$F$30),0)</f>
        <v>48.03730921042095</v>
      </c>
      <c r="AN14" s="42">
        <f>IF(AN$8&gt;0,MIN(MAX(Assumptions!$F$28*Assumptions!$F$27,'Monthly Revenue'!AM14*(1+Assumptions!$F$29)),Assumptions!$F$30),0)</f>
        <v>48.998055394629368</v>
      </c>
      <c r="AO14" s="42"/>
      <c r="AP14" s="42"/>
      <c r="AQ14" s="42"/>
    </row>
    <row r="15" spans="1:43" x14ac:dyDescent="0.3"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3">
      <c r="A16" s="6" t="s">
        <v>15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x14ac:dyDescent="0.3">
      <c r="A17" t="s">
        <v>12</v>
      </c>
      <c r="E17" s="42">
        <f>IF(E$8&gt;0,MIN(MAX(Assumptions!$C$28*Assumptions!$C$27,'Monthly Revenue'!D17*(1+Assumptions!$C$29)),Assumptions!$C$30),0)</f>
        <v>0</v>
      </c>
      <c r="F17" s="42">
        <f>IF(F$8&gt;0,MIN(MAX(Assumptions!$C$28*Assumptions!$C$27,'Monthly Revenue'!E17*(1+Assumptions!$C$29)),Assumptions!$C$30),0)</f>
        <v>0</v>
      </c>
      <c r="G17" s="42">
        <f>IF(G$8&gt;0,MIN(MAX(Assumptions!$C$28*Assumptions!$C$27,'Monthly Revenue'!F17*(1+Assumptions!$C$29)),Assumptions!$C$30),0)</f>
        <v>0</v>
      </c>
      <c r="H17" s="42">
        <f>IF(H$8&gt;0,MIN(MAX(Assumptions!$C$28*Assumptions!$C$27,'Monthly Revenue'!G17*(1+Assumptions!$C$29)),Assumptions!$C$30),0)</f>
        <v>26</v>
      </c>
      <c r="I17" s="42">
        <f>IF(I$8&gt;0,MIN(MAX(Assumptions!$C$28*Assumptions!$C$27,'Monthly Revenue'!H17*(1+Assumptions!$C$29)),Assumptions!$C$30),0)</f>
        <v>27.04</v>
      </c>
      <c r="J17" s="42">
        <f>IF(J$8&gt;0,MIN(MAX(Assumptions!$C$28*Assumptions!$C$27,'Monthly Revenue'!I17*(1+Assumptions!$C$29)),Assumptions!$C$30),0)</f>
        <v>28.121600000000001</v>
      </c>
      <c r="K17" s="42">
        <f>IF(K$8&gt;0,MIN(MAX(Assumptions!$C$28*Assumptions!$C$27,'Monthly Revenue'!J17*(1+Assumptions!$C$29)),Assumptions!$C$30),0)</f>
        <v>29.246464000000003</v>
      </c>
      <c r="L17" s="42">
        <f>IF(L$8&gt;0,MIN(MAX(Assumptions!$C$28*Assumptions!$C$27,'Monthly Revenue'!K17*(1+Assumptions!$C$29)),Assumptions!$C$30),0)</f>
        <v>30.416322560000005</v>
      </c>
      <c r="M17" s="42">
        <f>IF(M$8&gt;0,MIN(MAX(Assumptions!$C$28*Assumptions!$C$27,'Monthly Revenue'!L17*(1+Assumptions!$C$29)),Assumptions!$C$30),0)</f>
        <v>31.632975462400005</v>
      </c>
      <c r="N17" s="42">
        <f>IF(N$8&gt;0,MIN(MAX(Assumptions!$C$28*Assumptions!$C$27,'Monthly Revenue'!M17*(1+Assumptions!$C$29)),Assumptions!$C$30),0)</f>
        <v>32.898294480896006</v>
      </c>
      <c r="O17" s="42">
        <f>IF(O$8&gt;0,MIN(MAX(Assumptions!$C$28*Assumptions!$C$27,'Monthly Revenue'!N17*(1+Assumptions!$C$29)),Assumptions!$C$30),0)</f>
        <v>34.214226260131845</v>
      </c>
      <c r="P17" s="42">
        <f>IF(P$8&gt;0,MIN(MAX(Assumptions!$C$28*Assumptions!$C$27,'Monthly Revenue'!O17*(1+Assumptions!$C$29)),Assumptions!$C$30),0)</f>
        <v>35.582795310537122</v>
      </c>
      <c r="Q17" s="42">
        <f>IF(Q$8&gt;0,MIN(MAX(Assumptions!$C$28*Assumptions!$C$27,'Monthly Revenue'!P17*(1+Assumptions!$C$29)),Assumptions!$C$30),0)</f>
        <v>37.00610712295861</v>
      </c>
      <c r="R17" s="42">
        <f>IF(R$8&gt;0,MIN(MAX(Assumptions!$C$28*Assumptions!$C$27,'Monthly Revenue'!Q17*(1+Assumptions!$C$29)),Assumptions!$C$30),0)</f>
        <v>38.48635140787696</v>
      </c>
      <c r="S17" s="42">
        <f>IF(S$8&gt;0,MIN(MAX(Assumptions!$C$28*Assumptions!$C$27,'Monthly Revenue'!R17*(1+Assumptions!$C$29)),Assumptions!$C$30),0)</f>
        <v>40.02580546419204</v>
      </c>
      <c r="T17" s="42">
        <f>IF(T$8&gt;0,MIN(MAX(Assumptions!$C$28*Assumptions!$C$27,'Monthly Revenue'!S17*(1+Assumptions!$C$29)),Assumptions!$C$30),0)</f>
        <v>41.626837682759721</v>
      </c>
      <c r="U17" s="42">
        <f>IF(U$8&gt;0,MIN(MAX(Assumptions!$C$28*Assumptions!$C$27,'Monthly Revenue'!T17*(1+Assumptions!$C$29)),Assumptions!$C$30),0)</f>
        <v>43.29191119007011</v>
      </c>
      <c r="V17" s="42">
        <f>IF(V$8&gt;0,MIN(MAX(Assumptions!$C$28*Assumptions!$C$27,'Monthly Revenue'!U17*(1+Assumptions!$C$29)),Assumptions!$C$30),0)</f>
        <v>45.023587637672918</v>
      </c>
      <c r="W17" s="42">
        <f>IF(W$8&gt;0,MIN(MAX(Assumptions!$C$28*Assumptions!$C$27,'Monthly Revenue'!V17*(1+Assumptions!$C$29)),Assumptions!$C$30),0)</f>
        <v>46.82453114317984</v>
      </c>
      <c r="X17" s="42">
        <f>IF(X$8&gt;0,MIN(MAX(Assumptions!$C$28*Assumptions!$C$27,'Monthly Revenue'!W17*(1+Assumptions!$C$29)),Assumptions!$C$30),0)</f>
        <v>48.697512388907036</v>
      </c>
      <c r="Y17" s="42">
        <f>IF(Y$8&gt;0,MIN(MAX(Assumptions!$C$28*Assumptions!$C$27,'Monthly Revenue'!X17*(1+Assumptions!$C$29)),Assumptions!$C$30),0)</f>
        <v>50.645412884463319</v>
      </c>
      <c r="Z17" s="42">
        <f>IF(Z$8&gt;0,MIN(MAX(Assumptions!$C$28*Assumptions!$C$27,'Monthly Revenue'!Y17*(1+Assumptions!$C$29)),Assumptions!$C$30),0)</f>
        <v>52.671229399841856</v>
      </c>
      <c r="AA17" s="42">
        <f>IF(AA$8&gt;0,MIN(MAX(Assumptions!$C$28*Assumptions!$C$27,'Monthly Revenue'!Z17*(1+Assumptions!$C$29)),Assumptions!$C$30),0)</f>
        <v>54.778078575835529</v>
      </c>
      <c r="AB17" s="42">
        <f>IF(AB$8&gt;0,MIN(MAX(Assumptions!$C$28*Assumptions!$C$27,'Monthly Revenue'!AA17*(1+Assumptions!$C$29)),Assumptions!$C$30),0)</f>
        <v>56.969201718868952</v>
      </c>
      <c r="AC17" s="42">
        <f>IF(AC$8&gt;0,MIN(MAX(Assumptions!$C$28*Assumptions!$C$27,'Monthly Revenue'!AB17*(1+Assumptions!$C$29)),Assumptions!$C$30),0)</f>
        <v>59.24796978762371</v>
      </c>
      <c r="AD17" s="42">
        <f>IF(AD$8&gt;0,MIN(MAX(Assumptions!$C$28*Assumptions!$C$27,'Monthly Revenue'!AC17*(1+Assumptions!$C$29)),Assumptions!$C$30),0)</f>
        <v>61.61788857912866</v>
      </c>
      <c r="AE17" s="42">
        <f>IF(AE$8&gt;0,MIN(MAX(Assumptions!$C$28*Assumptions!$C$27,'Monthly Revenue'!AD17*(1+Assumptions!$C$29)),Assumptions!$C$30),0)</f>
        <v>64.082604122293816</v>
      </c>
      <c r="AF17" s="42">
        <f>IF(AF$8&gt;0,MIN(MAX(Assumptions!$C$28*Assumptions!$C$27,'Monthly Revenue'!AE17*(1+Assumptions!$C$29)),Assumptions!$C$30),0)</f>
        <v>66.645908287185577</v>
      </c>
      <c r="AG17" s="42">
        <f>IF(AG$8&gt;0,MIN(MAX(Assumptions!$C$28*Assumptions!$C$27,'Monthly Revenue'!AF17*(1+Assumptions!$C$29)),Assumptions!$C$30),0)</f>
        <v>69.311744618673004</v>
      </c>
      <c r="AH17" s="42">
        <f>IF(AH$8&gt;0,MIN(MAX(Assumptions!$C$28*Assumptions!$C$27,'Monthly Revenue'!AG17*(1+Assumptions!$C$29)),Assumptions!$C$30),0)</f>
        <v>72.084214403419921</v>
      </c>
      <c r="AI17" s="42">
        <f>IF(AI$8&gt;0,MIN(MAX(Assumptions!$C$28*Assumptions!$C$27,'Monthly Revenue'!AH17*(1+Assumptions!$C$29)),Assumptions!$C$30),0)</f>
        <v>74.967582979556724</v>
      </c>
      <c r="AJ17" s="42">
        <f>IF(AJ$8&gt;0,MIN(MAX(Assumptions!$C$28*Assumptions!$C$27,'Monthly Revenue'!AI17*(1+Assumptions!$C$29)),Assumptions!$C$30),0)</f>
        <v>77.966286298738993</v>
      </c>
      <c r="AK17" s="42">
        <f>IF(AK$8&gt;0,MIN(MAX(Assumptions!$C$28*Assumptions!$C$27,'Monthly Revenue'!AJ17*(1+Assumptions!$C$29)),Assumptions!$C$30),0)</f>
        <v>80</v>
      </c>
      <c r="AL17" s="42">
        <f>IF(AL$8&gt;0,MIN(MAX(Assumptions!$C$28*Assumptions!$C$27,'Monthly Revenue'!AK17*(1+Assumptions!$C$29)),Assumptions!$C$30),0)</f>
        <v>80</v>
      </c>
      <c r="AM17" s="42">
        <f>IF(AM$8&gt;0,MIN(MAX(Assumptions!$C$28*Assumptions!$C$27,'Monthly Revenue'!AL17*(1+Assumptions!$C$29)),Assumptions!$C$30),0)</f>
        <v>80</v>
      </c>
      <c r="AN17" s="42">
        <f>IF(AN$8&gt;0,MIN(MAX(Assumptions!$C$28*Assumptions!$C$27,'Monthly Revenue'!AM17*(1+Assumptions!$C$29)),Assumptions!$C$30),0)</f>
        <v>80</v>
      </c>
      <c r="AO17" s="42"/>
      <c r="AP17" s="42"/>
      <c r="AQ17" s="42"/>
    </row>
    <row r="18" spans="1:43" x14ac:dyDescent="0.3">
      <c r="A18" t="s">
        <v>13</v>
      </c>
      <c r="E18" s="42">
        <f>IF(E$8&gt;0,MIN(MAX(Assumptions!$G$28*Assumptions!$G$27,'Monthly Revenue'!D18*(1+Assumptions!$G$29)),Assumptions!$G$30),0)</f>
        <v>0</v>
      </c>
      <c r="F18" s="42">
        <f>IF(F$8&gt;0,MIN(MAX(Assumptions!$G$28*Assumptions!$G$27,'Monthly Revenue'!E18*(1+Assumptions!$G$29)),Assumptions!$G$30),0)</f>
        <v>0</v>
      </c>
      <c r="G18" s="42">
        <f>IF(G$8&gt;0,MIN(MAX(Assumptions!$G$28*Assumptions!$G$27,'Monthly Revenue'!F18*(1+Assumptions!$G$29)),Assumptions!$G$30),0)</f>
        <v>0</v>
      </c>
      <c r="H18" s="42">
        <f>IF(H$8&gt;0,MIN(MAX(Assumptions!$G$28*Assumptions!$G$27,'Monthly Revenue'!G18*(1+Assumptions!$G$29)),Assumptions!$G$30),0)</f>
        <v>30</v>
      </c>
      <c r="I18" s="42">
        <f>IF(I$8&gt;0,MIN(MAX(Assumptions!$G$28*Assumptions!$G$27,'Monthly Revenue'!H18*(1+Assumptions!$G$29)),Assumptions!$G$30),0)</f>
        <v>31.200000000000003</v>
      </c>
      <c r="J18" s="42">
        <f>IF(J$8&gt;0,MIN(MAX(Assumptions!$G$28*Assumptions!$G$27,'Monthly Revenue'!I18*(1+Assumptions!$G$29)),Assumptions!$G$30),0)</f>
        <v>32.448000000000008</v>
      </c>
      <c r="K18" s="42">
        <f>IF(K$8&gt;0,MIN(MAX(Assumptions!$G$28*Assumptions!$G$27,'Monthly Revenue'!J18*(1+Assumptions!$G$29)),Assumptions!$G$30),0)</f>
        <v>33.745920000000012</v>
      </c>
      <c r="L18" s="42">
        <f>IF(L$8&gt;0,MIN(MAX(Assumptions!$G$28*Assumptions!$G$27,'Monthly Revenue'!K18*(1+Assumptions!$G$29)),Assumptions!$G$30),0)</f>
        <v>35.095756800000011</v>
      </c>
      <c r="M18" s="42">
        <f>IF(M$8&gt;0,MIN(MAX(Assumptions!$G$28*Assumptions!$G$27,'Monthly Revenue'!L18*(1+Assumptions!$G$29)),Assumptions!$G$30),0)</f>
        <v>36.499587072000011</v>
      </c>
      <c r="N18" s="42">
        <f>IF(N$8&gt;0,MIN(MAX(Assumptions!$G$28*Assumptions!$G$27,'Monthly Revenue'!M18*(1+Assumptions!$G$29)),Assumptions!$G$30),0)</f>
        <v>37.95957055488001</v>
      </c>
      <c r="O18" s="42">
        <f>IF(O$8&gt;0,MIN(MAX(Assumptions!$G$28*Assumptions!$G$27,'Monthly Revenue'!N18*(1+Assumptions!$G$29)),Assumptions!$G$30),0)</f>
        <v>39.47795337707521</v>
      </c>
      <c r="P18" s="42">
        <f>IF(P$8&gt;0,MIN(MAX(Assumptions!$G$28*Assumptions!$G$27,'Monthly Revenue'!O18*(1+Assumptions!$G$29)),Assumptions!$G$30),0)</f>
        <v>41.057071512158217</v>
      </c>
      <c r="Q18" s="42">
        <f>IF(Q$8&gt;0,MIN(MAX(Assumptions!$G$28*Assumptions!$G$27,'Monthly Revenue'!P18*(1+Assumptions!$G$29)),Assumptions!$G$30),0)</f>
        <v>42.699354372644549</v>
      </c>
      <c r="R18" s="42">
        <f>IF(R$8&gt;0,MIN(MAX(Assumptions!$G$28*Assumptions!$G$27,'Monthly Revenue'!Q18*(1+Assumptions!$G$29)),Assumptions!$G$30),0)</f>
        <v>44.407328547550335</v>
      </c>
      <c r="S18" s="42">
        <f>IF(S$8&gt;0,MIN(MAX(Assumptions!$G$28*Assumptions!$G$27,'Monthly Revenue'!R18*(1+Assumptions!$G$29)),Assumptions!$G$30),0)</f>
        <v>46.183621689452352</v>
      </c>
      <c r="T18" s="42">
        <f>IF(T$8&gt;0,MIN(MAX(Assumptions!$G$28*Assumptions!$G$27,'Monthly Revenue'!S18*(1+Assumptions!$G$29)),Assumptions!$G$30),0)</f>
        <v>48.030966557030446</v>
      </c>
      <c r="U18" s="42">
        <f>IF(U$8&gt;0,MIN(MAX(Assumptions!$G$28*Assumptions!$G$27,'Monthly Revenue'!T18*(1+Assumptions!$G$29)),Assumptions!$G$30),0)</f>
        <v>49.952205219311665</v>
      </c>
      <c r="V18" s="42">
        <f>IF(V$8&gt;0,MIN(MAX(Assumptions!$G$28*Assumptions!$G$27,'Monthly Revenue'!U18*(1+Assumptions!$G$29)),Assumptions!$G$30),0)</f>
        <v>51.95029342808413</v>
      </c>
      <c r="W18" s="42">
        <f>IF(W$8&gt;0,MIN(MAX(Assumptions!$G$28*Assumptions!$G$27,'Monthly Revenue'!V18*(1+Assumptions!$G$29)),Assumptions!$G$30),0)</f>
        <v>54.028305165207499</v>
      </c>
      <c r="X18" s="42">
        <f>IF(X$8&gt;0,MIN(MAX(Assumptions!$G$28*Assumptions!$G$27,'Monthly Revenue'!W18*(1+Assumptions!$G$29)),Assumptions!$G$30),0)</f>
        <v>56.189437371815799</v>
      </c>
      <c r="Y18" s="42">
        <f>IF(Y$8&gt;0,MIN(MAX(Assumptions!$G$28*Assumptions!$G$27,'Monthly Revenue'!X18*(1+Assumptions!$G$29)),Assumptions!$G$30),0)</f>
        <v>58.437014866688436</v>
      </c>
      <c r="Z18" s="42">
        <f>IF(Z$8&gt;0,MIN(MAX(Assumptions!$G$28*Assumptions!$G$27,'Monthly Revenue'!Y18*(1+Assumptions!$G$29)),Assumptions!$G$30),0)</f>
        <v>60.774495461355976</v>
      </c>
      <c r="AA18" s="42">
        <f>IF(AA$8&gt;0,MIN(MAX(Assumptions!$G$28*Assumptions!$G$27,'Monthly Revenue'!Z18*(1+Assumptions!$G$29)),Assumptions!$G$30),0)</f>
        <v>63.205475279810216</v>
      </c>
      <c r="AB18" s="42">
        <f>IF(AB$8&gt;0,MIN(MAX(Assumptions!$G$28*Assumptions!$G$27,'Monthly Revenue'!AA18*(1+Assumptions!$G$29)),Assumptions!$G$30),0)</f>
        <v>65.733694291002621</v>
      </c>
      <c r="AC18" s="42">
        <f>IF(AC$8&gt;0,MIN(MAX(Assumptions!$G$28*Assumptions!$G$27,'Monthly Revenue'!AB18*(1+Assumptions!$G$29)),Assumptions!$G$30),0)</f>
        <v>68.363042062642734</v>
      </c>
      <c r="AD18" s="42">
        <f>IF(AD$8&gt;0,MIN(MAX(Assumptions!$G$28*Assumptions!$G$27,'Monthly Revenue'!AC18*(1+Assumptions!$G$29)),Assumptions!$G$30),0)</f>
        <v>71.097563745148449</v>
      </c>
      <c r="AE18" s="42">
        <f>IF(AE$8&gt;0,MIN(MAX(Assumptions!$G$28*Assumptions!$G$27,'Monthly Revenue'!AD18*(1+Assumptions!$G$29)),Assumptions!$G$30),0)</f>
        <v>73.941466294954395</v>
      </c>
      <c r="AF18" s="42">
        <f>IF(AF$8&gt;0,MIN(MAX(Assumptions!$G$28*Assumptions!$G$27,'Monthly Revenue'!AE18*(1+Assumptions!$G$29)),Assumptions!$G$30),0)</f>
        <v>76.899124946752579</v>
      </c>
      <c r="AG18" s="42">
        <f>IF(AG$8&gt;0,MIN(MAX(Assumptions!$G$28*Assumptions!$G$27,'Monthly Revenue'!AF18*(1+Assumptions!$G$29)),Assumptions!$G$30),0)</f>
        <v>79.975089944622681</v>
      </c>
      <c r="AH18" s="42">
        <f>IF(AH$8&gt;0,MIN(MAX(Assumptions!$G$28*Assumptions!$G$27,'Monthly Revenue'!AG18*(1+Assumptions!$G$29)),Assumptions!$G$30),0)</f>
        <v>83.17409354240759</v>
      </c>
      <c r="AI18" s="42">
        <f>IF(AI$8&gt;0,MIN(MAX(Assumptions!$G$28*Assumptions!$G$27,'Monthly Revenue'!AH18*(1+Assumptions!$G$29)),Assumptions!$G$30),0)</f>
        <v>86.501057284103894</v>
      </c>
      <c r="AJ18" s="42">
        <f>IF(AJ$8&gt;0,MIN(MAX(Assumptions!$G$28*Assumptions!$G$27,'Monthly Revenue'!AI18*(1+Assumptions!$G$29)),Assumptions!$G$30),0)</f>
        <v>89.961099575468054</v>
      </c>
      <c r="AK18" s="42">
        <f>IF(AK$8&gt;0,MIN(MAX(Assumptions!$G$28*Assumptions!$G$27,'Monthly Revenue'!AJ18*(1+Assumptions!$G$29)),Assumptions!$G$30),0)</f>
        <v>90</v>
      </c>
      <c r="AL18" s="42">
        <f>IF(AL$8&gt;0,MIN(MAX(Assumptions!$G$28*Assumptions!$G$27,'Monthly Revenue'!AK18*(1+Assumptions!$G$29)),Assumptions!$G$30),0)</f>
        <v>90</v>
      </c>
      <c r="AM18" s="42">
        <f>IF(AM$8&gt;0,MIN(MAX(Assumptions!$G$28*Assumptions!$G$27,'Monthly Revenue'!AL18*(1+Assumptions!$G$29)),Assumptions!$G$30),0)</f>
        <v>90</v>
      </c>
      <c r="AN18" s="42">
        <f>IF(AN$8&gt;0,MIN(MAX(Assumptions!$G$28*Assumptions!$G$27,'Monthly Revenue'!AM18*(1+Assumptions!$G$29)),Assumptions!$G$30),0)</f>
        <v>90</v>
      </c>
      <c r="AO18" s="42"/>
      <c r="AP18" s="42"/>
      <c r="AQ18" s="42"/>
    </row>
    <row r="19" spans="1:43" x14ac:dyDescent="0.3"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3">
      <c r="A20" s="1" t="s">
        <v>20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3">
      <c r="A21" s="6" t="s">
        <v>14</v>
      </c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3">
      <c r="A22" s="1" t="s">
        <v>12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3">
      <c r="A23" s="43" t="s">
        <v>21</v>
      </c>
      <c r="E23" s="50"/>
      <c r="F23" s="50"/>
      <c r="G23" s="50"/>
      <c r="H23" s="50">
        <f>Assumptions!B20</f>
        <v>300</v>
      </c>
      <c r="I23" s="50">
        <f>H23</f>
        <v>300</v>
      </c>
      <c r="J23" s="50">
        <f t="shared" ref="J23:M23" si="28">I23</f>
        <v>300</v>
      </c>
      <c r="K23" s="50">
        <f t="shared" si="28"/>
        <v>300</v>
      </c>
      <c r="L23" s="50">
        <f t="shared" si="28"/>
        <v>300</v>
      </c>
      <c r="M23" s="50">
        <f t="shared" si="28"/>
        <v>300</v>
      </c>
      <c r="N23" s="50">
        <f t="shared" ref="N23:S23" si="29">M23</f>
        <v>300</v>
      </c>
      <c r="O23" s="50">
        <f t="shared" si="29"/>
        <v>300</v>
      </c>
      <c r="P23" s="50">
        <f t="shared" si="29"/>
        <v>300</v>
      </c>
      <c r="Q23" s="50">
        <f t="shared" si="29"/>
        <v>300</v>
      </c>
      <c r="R23" s="50">
        <f t="shared" si="29"/>
        <v>300</v>
      </c>
      <c r="S23" s="50">
        <f t="shared" si="29"/>
        <v>300</v>
      </c>
      <c r="T23" s="50">
        <f>S23*(1+Assumptions!$B$23)</f>
        <v>315</v>
      </c>
      <c r="U23" s="50">
        <f>T23</f>
        <v>315</v>
      </c>
      <c r="V23" s="50">
        <f t="shared" ref="V23:AE23" si="30">U23</f>
        <v>315</v>
      </c>
      <c r="W23" s="50">
        <f t="shared" si="30"/>
        <v>315</v>
      </c>
      <c r="X23" s="50">
        <f t="shared" si="30"/>
        <v>315</v>
      </c>
      <c r="Y23" s="50">
        <f t="shared" si="30"/>
        <v>315</v>
      </c>
      <c r="Z23" s="50">
        <f t="shared" si="30"/>
        <v>315</v>
      </c>
      <c r="AA23" s="50">
        <f t="shared" si="30"/>
        <v>315</v>
      </c>
      <c r="AB23" s="50">
        <f t="shared" si="30"/>
        <v>315</v>
      </c>
      <c r="AC23" s="50">
        <f t="shared" si="30"/>
        <v>315</v>
      </c>
      <c r="AD23" s="50">
        <f t="shared" si="30"/>
        <v>315</v>
      </c>
      <c r="AE23" s="50">
        <f t="shared" si="30"/>
        <v>315</v>
      </c>
      <c r="AF23" s="50">
        <f>AE23*(1+Assumptions!$B$23)</f>
        <v>330.75</v>
      </c>
      <c r="AG23" s="50">
        <f>AF23</f>
        <v>330.75</v>
      </c>
      <c r="AH23" s="50">
        <f t="shared" ref="AH23:AN23" si="31">AG23</f>
        <v>330.75</v>
      </c>
      <c r="AI23" s="50">
        <f t="shared" si="31"/>
        <v>330.75</v>
      </c>
      <c r="AJ23" s="50">
        <f t="shared" si="31"/>
        <v>330.75</v>
      </c>
      <c r="AK23" s="50">
        <f t="shared" si="31"/>
        <v>330.75</v>
      </c>
      <c r="AL23" s="50">
        <f t="shared" si="31"/>
        <v>330.75</v>
      </c>
      <c r="AM23" s="50">
        <f t="shared" si="31"/>
        <v>330.75</v>
      </c>
      <c r="AN23" s="50">
        <f t="shared" si="31"/>
        <v>330.75</v>
      </c>
      <c r="AO23" s="50"/>
      <c r="AP23" s="42"/>
      <c r="AQ23" s="42"/>
    </row>
    <row r="24" spans="1:43" x14ac:dyDescent="0.3">
      <c r="A24" s="43" t="s">
        <v>22</v>
      </c>
      <c r="E24" s="51"/>
      <c r="F24" s="50"/>
      <c r="G24" s="50"/>
      <c r="H24" s="50">
        <f>Assumptions!B21</f>
        <v>200</v>
      </c>
      <c r="I24" s="50">
        <f t="shared" ref="I24:M25" si="32">H24</f>
        <v>200</v>
      </c>
      <c r="J24" s="50">
        <f t="shared" si="32"/>
        <v>200</v>
      </c>
      <c r="K24" s="50">
        <f t="shared" si="32"/>
        <v>200</v>
      </c>
      <c r="L24" s="50">
        <f t="shared" si="32"/>
        <v>200</v>
      </c>
      <c r="M24" s="50">
        <f t="shared" si="32"/>
        <v>200</v>
      </c>
      <c r="N24" s="50">
        <f t="shared" ref="N24:S24" si="33">M24</f>
        <v>200</v>
      </c>
      <c r="O24" s="50">
        <f t="shared" si="33"/>
        <v>200</v>
      </c>
      <c r="P24" s="50">
        <f t="shared" si="33"/>
        <v>200</v>
      </c>
      <c r="Q24" s="50">
        <f t="shared" si="33"/>
        <v>200</v>
      </c>
      <c r="R24" s="50">
        <f t="shared" si="33"/>
        <v>200</v>
      </c>
      <c r="S24" s="50">
        <f t="shared" si="33"/>
        <v>200</v>
      </c>
      <c r="T24" s="50">
        <f>S24*(1+Assumptions!$B$23)</f>
        <v>210</v>
      </c>
      <c r="U24" s="50">
        <f t="shared" ref="U24:AE25" si="34">T24</f>
        <v>210</v>
      </c>
      <c r="V24" s="50">
        <f t="shared" si="34"/>
        <v>210</v>
      </c>
      <c r="W24" s="50">
        <f t="shared" si="34"/>
        <v>210</v>
      </c>
      <c r="X24" s="50">
        <f t="shared" si="34"/>
        <v>210</v>
      </c>
      <c r="Y24" s="50">
        <f t="shared" si="34"/>
        <v>210</v>
      </c>
      <c r="Z24" s="50">
        <f t="shared" si="34"/>
        <v>210</v>
      </c>
      <c r="AA24" s="50">
        <f t="shared" si="34"/>
        <v>210</v>
      </c>
      <c r="AB24" s="50">
        <f t="shared" si="34"/>
        <v>210</v>
      </c>
      <c r="AC24" s="50">
        <f t="shared" si="34"/>
        <v>210</v>
      </c>
      <c r="AD24" s="50">
        <f t="shared" si="34"/>
        <v>210</v>
      </c>
      <c r="AE24" s="50">
        <f t="shared" si="34"/>
        <v>210</v>
      </c>
      <c r="AF24" s="50">
        <f>AE24*(1+Assumptions!$B$23)</f>
        <v>220.5</v>
      </c>
      <c r="AG24" s="50">
        <f t="shared" ref="AG24:AN25" si="35">AF24</f>
        <v>220.5</v>
      </c>
      <c r="AH24" s="50">
        <f t="shared" si="35"/>
        <v>220.5</v>
      </c>
      <c r="AI24" s="50">
        <f t="shared" si="35"/>
        <v>220.5</v>
      </c>
      <c r="AJ24" s="50">
        <f t="shared" si="35"/>
        <v>220.5</v>
      </c>
      <c r="AK24" s="50">
        <f t="shared" si="35"/>
        <v>220.5</v>
      </c>
      <c r="AL24" s="50">
        <f t="shared" si="35"/>
        <v>220.5</v>
      </c>
      <c r="AM24" s="50">
        <f t="shared" si="35"/>
        <v>220.5</v>
      </c>
      <c r="AN24" s="50">
        <f t="shared" si="35"/>
        <v>220.5</v>
      </c>
      <c r="AO24" s="50"/>
      <c r="AP24" s="42"/>
      <c r="AQ24" s="42"/>
    </row>
    <row r="25" spans="1:43" x14ac:dyDescent="0.3">
      <c r="A25" s="43" t="s">
        <v>23</v>
      </c>
      <c r="E25" s="50"/>
      <c r="F25" s="50"/>
      <c r="G25" s="50"/>
      <c r="H25" s="50">
        <f>Assumptions!B22</f>
        <v>1000</v>
      </c>
      <c r="I25" s="50">
        <f t="shared" si="32"/>
        <v>1000</v>
      </c>
      <c r="J25" s="50">
        <f t="shared" si="32"/>
        <v>1000</v>
      </c>
      <c r="K25" s="50">
        <f t="shared" si="32"/>
        <v>1000</v>
      </c>
      <c r="L25" s="50">
        <f t="shared" si="32"/>
        <v>1000</v>
      </c>
      <c r="M25" s="50">
        <f t="shared" si="32"/>
        <v>1000</v>
      </c>
      <c r="N25" s="50">
        <f t="shared" ref="N25:S25" si="36">M25</f>
        <v>1000</v>
      </c>
      <c r="O25" s="50">
        <f t="shared" si="36"/>
        <v>1000</v>
      </c>
      <c r="P25" s="50">
        <f t="shared" si="36"/>
        <v>1000</v>
      </c>
      <c r="Q25" s="50">
        <f t="shared" si="36"/>
        <v>1000</v>
      </c>
      <c r="R25" s="50">
        <f t="shared" si="36"/>
        <v>1000</v>
      </c>
      <c r="S25" s="50">
        <f t="shared" si="36"/>
        <v>1000</v>
      </c>
      <c r="T25" s="50">
        <f>S25*(1+Assumptions!$B$23)</f>
        <v>1050</v>
      </c>
      <c r="U25" s="50">
        <f t="shared" si="34"/>
        <v>1050</v>
      </c>
      <c r="V25" s="50">
        <f t="shared" si="34"/>
        <v>1050</v>
      </c>
      <c r="W25" s="50">
        <f t="shared" si="34"/>
        <v>1050</v>
      </c>
      <c r="X25" s="50">
        <f t="shared" si="34"/>
        <v>1050</v>
      </c>
      <c r="Y25" s="50">
        <f t="shared" si="34"/>
        <v>1050</v>
      </c>
      <c r="Z25" s="50">
        <f t="shared" si="34"/>
        <v>1050</v>
      </c>
      <c r="AA25" s="50">
        <f t="shared" si="34"/>
        <v>1050</v>
      </c>
      <c r="AB25" s="50">
        <f t="shared" si="34"/>
        <v>1050</v>
      </c>
      <c r="AC25" s="50">
        <f t="shared" si="34"/>
        <v>1050</v>
      </c>
      <c r="AD25" s="50">
        <f t="shared" si="34"/>
        <v>1050</v>
      </c>
      <c r="AE25" s="50">
        <f t="shared" si="34"/>
        <v>1050</v>
      </c>
      <c r="AF25" s="50">
        <f>AE25*(1+Assumptions!$B$23)</f>
        <v>1102.5</v>
      </c>
      <c r="AG25" s="50">
        <f t="shared" si="35"/>
        <v>1102.5</v>
      </c>
      <c r="AH25" s="50">
        <f t="shared" si="35"/>
        <v>1102.5</v>
      </c>
      <c r="AI25" s="50">
        <f t="shared" si="35"/>
        <v>1102.5</v>
      </c>
      <c r="AJ25" s="50">
        <f t="shared" si="35"/>
        <v>1102.5</v>
      </c>
      <c r="AK25" s="50">
        <f t="shared" si="35"/>
        <v>1102.5</v>
      </c>
      <c r="AL25" s="50">
        <f t="shared" si="35"/>
        <v>1102.5</v>
      </c>
      <c r="AM25" s="50">
        <f t="shared" si="35"/>
        <v>1102.5</v>
      </c>
      <c r="AN25" s="50">
        <f t="shared" si="35"/>
        <v>1102.5</v>
      </c>
      <c r="AO25" s="50"/>
      <c r="AP25" s="42"/>
      <c r="AQ25" s="42"/>
    </row>
    <row r="26" spans="1:43" s="1" customFormat="1" ht="15" thickBot="1" x14ac:dyDescent="0.35">
      <c r="A26" s="47" t="s">
        <v>59</v>
      </c>
      <c r="E26" s="52"/>
      <c r="F26" s="52"/>
      <c r="G26" s="52"/>
      <c r="H26" s="52">
        <f>SUM(H23:H25)</f>
        <v>1500</v>
      </c>
      <c r="I26" s="52">
        <f t="shared" ref="I26:AN26" si="37">SUM(I23:I25)</f>
        <v>1500</v>
      </c>
      <c r="J26" s="52">
        <f t="shared" si="37"/>
        <v>1500</v>
      </c>
      <c r="K26" s="52">
        <f t="shared" si="37"/>
        <v>1500</v>
      </c>
      <c r="L26" s="52">
        <f t="shared" si="37"/>
        <v>1500</v>
      </c>
      <c r="M26" s="52">
        <f t="shared" si="37"/>
        <v>1500</v>
      </c>
      <c r="N26" s="52">
        <f t="shared" si="37"/>
        <v>1500</v>
      </c>
      <c r="O26" s="52">
        <f t="shared" si="37"/>
        <v>1500</v>
      </c>
      <c r="P26" s="52">
        <f t="shared" si="37"/>
        <v>1500</v>
      </c>
      <c r="Q26" s="52">
        <f t="shared" si="37"/>
        <v>1500</v>
      </c>
      <c r="R26" s="52">
        <f t="shared" si="37"/>
        <v>1500</v>
      </c>
      <c r="S26" s="52">
        <f t="shared" si="37"/>
        <v>1500</v>
      </c>
      <c r="T26" s="52">
        <f t="shared" si="37"/>
        <v>1575</v>
      </c>
      <c r="U26" s="52">
        <f t="shared" si="37"/>
        <v>1575</v>
      </c>
      <c r="V26" s="52">
        <f t="shared" si="37"/>
        <v>1575</v>
      </c>
      <c r="W26" s="52">
        <f t="shared" si="37"/>
        <v>1575</v>
      </c>
      <c r="X26" s="52">
        <f t="shared" si="37"/>
        <v>1575</v>
      </c>
      <c r="Y26" s="52">
        <f t="shared" si="37"/>
        <v>1575</v>
      </c>
      <c r="Z26" s="52">
        <f t="shared" si="37"/>
        <v>1575</v>
      </c>
      <c r="AA26" s="52">
        <f t="shared" si="37"/>
        <v>1575</v>
      </c>
      <c r="AB26" s="52">
        <f t="shared" si="37"/>
        <v>1575</v>
      </c>
      <c r="AC26" s="52">
        <f t="shared" si="37"/>
        <v>1575</v>
      </c>
      <c r="AD26" s="52">
        <f t="shared" si="37"/>
        <v>1575</v>
      </c>
      <c r="AE26" s="52">
        <f t="shared" si="37"/>
        <v>1575</v>
      </c>
      <c r="AF26" s="52">
        <f t="shared" si="37"/>
        <v>1653.75</v>
      </c>
      <c r="AG26" s="52">
        <f t="shared" si="37"/>
        <v>1653.75</v>
      </c>
      <c r="AH26" s="52">
        <f t="shared" si="37"/>
        <v>1653.75</v>
      </c>
      <c r="AI26" s="52">
        <f t="shared" si="37"/>
        <v>1653.75</v>
      </c>
      <c r="AJ26" s="52">
        <f t="shared" si="37"/>
        <v>1653.75</v>
      </c>
      <c r="AK26" s="52">
        <f t="shared" si="37"/>
        <v>1653.75</v>
      </c>
      <c r="AL26" s="52">
        <f t="shared" si="37"/>
        <v>1653.75</v>
      </c>
      <c r="AM26" s="52">
        <f t="shared" si="37"/>
        <v>1653.75</v>
      </c>
      <c r="AN26" s="52">
        <f t="shared" si="37"/>
        <v>1653.75</v>
      </c>
      <c r="AO26" s="53"/>
      <c r="AP26" s="46"/>
      <c r="AQ26" s="46"/>
    </row>
    <row r="27" spans="1:43" x14ac:dyDescent="0.3">
      <c r="A27" s="45" t="s">
        <v>13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42"/>
      <c r="AQ27" s="42"/>
    </row>
    <row r="28" spans="1:43" x14ac:dyDescent="0.3">
      <c r="A28" s="43" t="s">
        <v>21</v>
      </c>
      <c r="E28" s="50"/>
      <c r="F28" s="50"/>
      <c r="G28" s="50"/>
      <c r="H28" s="50">
        <f>Assumptions!F20</f>
        <v>400</v>
      </c>
      <c r="I28" s="50">
        <f>H28</f>
        <v>400</v>
      </c>
      <c r="J28" s="50">
        <f t="shared" ref="J28:S28" si="38">I28</f>
        <v>400</v>
      </c>
      <c r="K28" s="50">
        <f t="shared" si="38"/>
        <v>400</v>
      </c>
      <c r="L28" s="50">
        <f t="shared" si="38"/>
        <v>400</v>
      </c>
      <c r="M28" s="50">
        <f t="shared" si="38"/>
        <v>400</v>
      </c>
      <c r="N28" s="50">
        <f t="shared" si="38"/>
        <v>400</v>
      </c>
      <c r="O28" s="50">
        <f t="shared" si="38"/>
        <v>400</v>
      </c>
      <c r="P28" s="50">
        <f t="shared" si="38"/>
        <v>400</v>
      </c>
      <c r="Q28" s="50">
        <f t="shared" si="38"/>
        <v>400</v>
      </c>
      <c r="R28" s="50">
        <f t="shared" si="38"/>
        <v>400</v>
      </c>
      <c r="S28" s="50">
        <f t="shared" si="38"/>
        <v>400</v>
      </c>
      <c r="T28" s="50">
        <f>S28*(1+Assumptions!$F$23)</f>
        <v>420</v>
      </c>
      <c r="U28" s="50">
        <f>T28</f>
        <v>420</v>
      </c>
      <c r="V28" s="50">
        <f t="shared" ref="V28:AE28" si="39">U28</f>
        <v>420</v>
      </c>
      <c r="W28" s="50">
        <f t="shared" si="39"/>
        <v>420</v>
      </c>
      <c r="X28" s="50">
        <f t="shared" si="39"/>
        <v>420</v>
      </c>
      <c r="Y28" s="50">
        <f t="shared" si="39"/>
        <v>420</v>
      </c>
      <c r="Z28" s="50">
        <f t="shared" si="39"/>
        <v>420</v>
      </c>
      <c r="AA28" s="50">
        <f t="shared" si="39"/>
        <v>420</v>
      </c>
      <c r="AB28" s="50">
        <f t="shared" si="39"/>
        <v>420</v>
      </c>
      <c r="AC28" s="50">
        <f t="shared" si="39"/>
        <v>420</v>
      </c>
      <c r="AD28" s="50">
        <f t="shared" si="39"/>
        <v>420</v>
      </c>
      <c r="AE28" s="50">
        <f t="shared" si="39"/>
        <v>420</v>
      </c>
      <c r="AF28" s="50">
        <f>AE28*(1+Assumptions!$F$23)</f>
        <v>441</v>
      </c>
      <c r="AG28" s="50">
        <f>AF28</f>
        <v>441</v>
      </c>
      <c r="AH28" s="50">
        <f t="shared" ref="AH28:AN28" si="40">AG28</f>
        <v>441</v>
      </c>
      <c r="AI28" s="50">
        <f t="shared" si="40"/>
        <v>441</v>
      </c>
      <c r="AJ28" s="50">
        <f t="shared" si="40"/>
        <v>441</v>
      </c>
      <c r="AK28" s="50">
        <f t="shared" si="40"/>
        <v>441</v>
      </c>
      <c r="AL28" s="50">
        <f t="shared" si="40"/>
        <v>441</v>
      </c>
      <c r="AM28" s="50">
        <f t="shared" si="40"/>
        <v>441</v>
      </c>
      <c r="AN28" s="50">
        <f t="shared" si="40"/>
        <v>441</v>
      </c>
      <c r="AO28" s="50"/>
      <c r="AP28" s="42"/>
      <c r="AQ28" s="42"/>
    </row>
    <row r="29" spans="1:43" x14ac:dyDescent="0.3">
      <c r="A29" s="43" t="s">
        <v>22</v>
      </c>
      <c r="E29" s="50"/>
      <c r="F29" s="50"/>
      <c r="G29" s="50"/>
      <c r="H29" s="50">
        <f>Assumptions!F21</f>
        <v>200</v>
      </c>
      <c r="I29" s="50">
        <f t="shared" ref="I29:S30" si="41">H29</f>
        <v>200</v>
      </c>
      <c r="J29" s="50">
        <f t="shared" si="41"/>
        <v>200</v>
      </c>
      <c r="K29" s="50">
        <f t="shared" si="41"/>
        <v>200</v>
      </c>
      <c r="L29" s="50">
        <f t="shared" si="41"/>
        <v>200</v>
      </c>
      <c r="M29" s="50">
        <f t="shared" si="41"/>
        <v>200</v>
      </c>
      <c r="N29" s="50">
        <f t="shared" si="41"/>
        <v>200</v>
      </c>
      <c r="O29" s="50">
        <f t="shared" si="41"/>
        <v>200</v>
      </c>
      <c r="P29" s="50">
        <f t="shared" si="41"/>
        <v>200</v>
      </c>
      <c r="Q29" s="50">
        <f t="shared" si="41"/>
        <v>200</v>
      </c>
      <c r="R29" s="50">
        <f t="shared" si="41"/>
        <v>200</v>
      </c>
      <c r="S29" s="50">
        <f t="shared" si="41"/>
        <v>200</v>
      </c>
      <c r="T29" s="50">
        <f>S29*(1+Assumptions!$F$23)</f>
        <v>210</v>
      </c>
      <c r="U29" s="50">
        <f t="shared" ref="U29:AE30" si="42">T29</f>
        <v>210</v>
      </c>
      <c r="V29" s="50">
        <f t="shared" si="42"/>
        <v>210</v>
      </c>
      <c r="W29" s="50">
        <f t="shared" si="42"/>
        <v>210</v>
      </c>
      <c r="X29" s="50">
        <f t="shared" si="42"/>
        <v>210</v>
      </c>
      <c r="Y29" s="50">
        <f t="shared" si="42"/>
        <v>210</v>
      </c>
      <c r="Z29" s="50">
        <f t="shared" si="42"/>
        <v>210</v>
      </c>
      <c r="AA29" s="50">
        <f t="shared" si="42"/>
        <v>210</v>
      </c>
      <c r="AB29" s="50">
        <f t="shared" si="42"/>
        <v>210</v>
      </c>
      <c r="AC29" s="50">
        <f t="shared" si="42"/>
        <v>210</v>
      </c>
      <c r="AD29" s="50">
        <f t="shared" si="42"/>
        <v>210</v>
      </c>
      <c r="AE29" s="50">
        <f t="shared" si="42"/>
        <v>210</v>
      </c>
      <c r="AF29" s="50">
        <f>AE29*(1+Assumptions!$F$23)</f>
        <v>220.5</v>
      </c>
      <c r="AG29" s="50">
        <f t="shared" ref="AG29:AN30" si="43">AF29</f>
        <v>220.5</v>
      </c>
      <c r="AH29" s="50">
        <f t="shared" si="43"/>
        <v>220.5</v>
      </c>
      <c r="AI29" s="50">
        <f t="shared" si="43"/>
        <v>220.5</v>
      </c>
      <c r="AJ29" s="50">
        <f t="shared" si="43"/>
        <v>220.5</v>
      </c>
      <c r="AK29" s="50">
        <f t="shared" si="43"/>
        <v>220.5</v>
      </c>
      <c r="AL29" s="50">
        <f t="shared" si="43"/>
        <v>220.5</v>
      </c>
      <c r="AM29" s="50">
        <f t="shared" si="43"/>
        <v>220.5</v>
      </c>
      <c r="AN29" s="50">
        <f t="shared" si="43"/>
        <v>220.5</v>
      </c>
      <c r="AO29" s="50"/>
      <c r="AP29" s="42"/>
      <c r="AQ29" s="42"/>
    </row>
    <row r="30" spans="1:43" x14ac:dyDescent="0.3">
      <c r="A30" s="43" t="s">
        <v>23</v>
      </c>
      <c r="E30" s="50"/>
      <c r="F30" s="50"/>
      <c r="G30" s="50"/>
      <c r="H30" s="50">
        <f>Assumptions!F22</f>
        <v>1000</v>
      </c>
      <c r="I30" s="50">
        <f t="shared" si="41"/>
        <v>1000</v>
      </c>
      <c r="J30" s="50">
        <f t="shared" si="41"/>
        <v>1000</v>
      </c>
      <c r="K30" s="50">
        <f t="shared" si="41"/>
        <v>1000</v>
      </c>
      <c r="L30" s="50">
        <f t="shared" si="41"/>
        <v>1000</v>
      </c>
      <c r="M30" s="50">
        <f t="shared" si="41"/>
        <v>1000</v>
      </c>
      <c r="N30" s="50">
        <f t="shared" si="41"/>
        <v>1000</v>
      </c>
      <c r="O30" s="50">
        <f t="shared" si="41"/>
        <v>1000</v>
      </c>
      <c r="P30" s="50">
        <f t="shared" si="41"/>
        <v>1000</v>
      </c>
      <c r="Q30" s="50">
        <f t="shared" si="41"/>
        <v>1000</v>
      </c>
      <c r="R30" s="50">
        <f t="shared" si="41"/>
        <v>1000</v>
      </c>
      <c r="S30" s="50">
        <f t="shared" si="41"/>
        <v>1000</v>
      </c>
      <c r="T30" s="50">
        <f>S30*(1+Assumptions!$F$23)</f>
        <v>1050</v>
      </c>
      <c r="U30" s="50">
        <f t="shared" si="42"/>
        <v>1050</v>
      </c>
      <c r="V30" s="50">
        <f t="shared" si="42"/>
        <v>1050</v>
      </c>
      <c r="W30" s="50">
        <f t="shared" si="42"/>
        <v>1050</v>
      </c>
      <c r="X30" s="50">
        <f t="shared" si="42"/>
        <v>1050</v>
      </c>
      <c r="Y30" s="50">
        <f t="shared" si="42"/>
        <v>1050</v>
      </c>
      <c r="Z30" s="50">
        <f t="shared" si="42"/>
        <v>1050</v>
      </c>
      <c r="AA30" s="50">
        <f t="shared" si="42"/>
        <v>1050</v>
      </c>
      <c r="AB30" s="50">
        <f t="shared" si="42"/>
        <v>1050</v>
      </c>
      <c r="AC30" s="50">
        <f t="shared" si="42"/>
        <v>1050</v>
      </c>
      <c r="AD30" s="50">
        <f t="shared" si="42"/>
        <v>1050</v>
      </c>
      <c r="AE30" s="50">
        <f t="shared" si="42"/>
        <v>1050</v>
      </c>
      <c r="AF30" s="50">
        <f>AE30*(1+Assumptions!$F$23)</f>
        <v>1102.5</v>
      </c>
      <c r="AG30" s="50">
        <f t="shared" si="43"/>
        <v>1102.5</v>
      </c>
      <c r="AH30" s="50">
        <f t="shared" si="43"/>
        <v>1102.5</v>
      </c>
      <c r="AI30" s="50">
        <f t="shared" si="43"/>
        <v>1102.5</v>
      </c>
      <c r="AJ30" s="50">
        <f t="shared" si="43"/>
        <v>1102.5</v>
      </c>
      <c r="AK30" s="50">
        <f t="shared" si="43"/>
        <v>1102.5</v>
      </c>
      <c r="AL30" s="50">
        <f t="shared" si="43"/>
        <v>1102.5</v>
      </c>
      <c r="AM30" s="50">
        <f t="shared" si="43"/>
        <v>1102.5</v>
      </c>
      <c r="AN30" s="50">
        <f t="shared" si="43"/>
        <v>1102.5</v>
      </c>
      <c r="AO30" s="50"/>
      <c r="AP30" s="42"/>
      <c r="AQ30" s="42"/>
    </row>
    <row r="31" spans="1:43" s="48" customFormat="1" ht="15" thickBot="1" x14ac:dyDescent="0.35">
      <c r="A31" s="47" t="s">
        <v>59</v>
      </c>
      <c r="E31" s="54"/>
      <c r="F31" s="54"/>
      <c r="G31" s="54"/>
      <c r="H31" s="54">
        <f>SUM(H28:H30)</f>
        <v>1600</v>
      </c>
      <c r="I31" s="54">
        <f t="shared" ref="I31:AN31" si="44">SUM(I28:I30)</f>
        <v>1600</v>
      </c>
      <c r="J31" s="54">
        <f t="shared" si="44"/>
        <v>1600</v>
      </c>
      <c r="K31" s="54">
        <f t="shared" si="44"/>
        <v>1600</v>
      </c>
      <c r="L31" s="54">
        <f t="shared" si="44"/>
        <v>1600</v>
      </c>
      <c r="M31" s="54">
        <f t="shared" si="44"/>
        <v>1600</v>
      </c>
      <c r="N31" s="54">
        <f t="shared" si="44"/>
        <v>1600</v>
      </c>
      <c r="O31" s="54">
        <f t="shared" si="44"/>
        <v>1600</v>
      </c>
      <c r="P31" s="54">
        <f t="shared" si="44"/>
        <v>1600</v>
      </c>
      <c r="Q31" s="54">
        <f t="shared" si="44"/>
        <v>1600</v>
      </c>
      <c r="R31" s="54">
        <f t="shared" si="44"/>
        <v>1600</v>
      </c>
      <c r="S31" s="54">
        <f t="shared" si="44"/>
        <v>1600</v>
      </c>
      <c r="T31" s="54">
        <f t="shared" si="44"/>
        <v>1680</v>
      </c>
      <c r="U31" s="54">
        <f t="shared" si="44"/>
        <v>1680</v>
      </c>
      <c r="V31" s="54">
        <f t="shared" si="44"/>
        <v>1680</v>
      </c>
      <c r="W31" s="54">
        <f t="shared" si="44"/>
        <v>1680</v>
      </c>
      <c r="X31" s="54">
        <f t="shared" si="44"/>
        <v>1680</v>
      </c>
      <c r="Y31" s="54">
        <f t="shared" si="44"/>
        <v>1680</v>
      </c>
      <c r="Z31" s="54">
        <f t="shared" si="44"/>
        <v>1680</v>
      </c>
      <c r="AA31" s="54">
        <f t="shared" si="44"/>
        <v>1680</v>
      </c>
      <c r="AB31" s="54">
        <f t="shared" si="44"/>
        <v>1680</v>
      </c>
      <c r="AC31" s="54">
        <f t="shared" si="44"/>
        <v>1680</v>
      </c>
      <c r="AD31" s="54">
        <f t="shared" si="44"/>
        <v>1680</v>
      </c>
      <c r="AE31" s="54">
        <f t="shared" si="44"/>
        <v>1680</v>
      </c>
      <c r="AF31" s="54">
        <f t="shared" si="44"/>
        <v>1764</v>
      </c>
      <c r="AG31" s="54">
        <f t="shared" si="44"/>
        <v>1764</v>
      </c>
      <c r="AH31" s="54">
        <f t="shared" si="44"/>
        <v>1764</v>
      </c>
      <c r="AI31" s="54">
        <f t="shared" si="44"/>
        <v>1764</v>
      </c>
      <c r="AJ31" s="54">
        <f t="shared" si="44"/>
        <v>1764</v>
      </c>
      <c r="AK31" s="54">
        <f t="shared" si="44"/>
        <v>1764</v>
      </c>
      <c r="AL31" s="54">
        <f t="shared" si="44"/>
        <v>1764</v>
      </c>
      <c r="AM31" s="54">
        <f t="shared" si="44"/>
        <v>1764</v>
      </c>
      <c r="AN31" s="54">
        <f t="shared" si="44"/>
        <v>1764</v>
      </c>
      <c r="AO31" s="54"/>
      <c r="AP31" s="49"/>
      <c r="AQ31" s="49"/>
    </row>
    <row r="32" spans="1:43" x14ac:dyDescent="0.3">
      <c r="A32" s="6" t="s">
        <v>15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42"/>
      <c r="AQ32" s="42"/>
    </row>
    <row r="33" spans="1:43" x14ac:dyDescent="0.3">
      <c r="A33" s="45" t="s">
        <v>12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42"/>
      <c r="AQ33" s="42"/>
    </row>
    <row r="34" spans="1:43" x14ac:dyDescent="0.3">
      <c r="A34" s="43" t="s">
        <v>21</v>
      </c>
      <c r="E34" s="50"/>
      <c r="F34" s="50"/>
      <c r="G34" s="50"/>
      <c r="H34" s="50">
        <f>Assumptions!C20</f>
        <v>500</v>
      </c>
      <c r="I34" s="50">
        <f>H34</f>
        <v>500</v>
      </c>
      <c r="J34" s="50">
        <f t="shared" ref="J34:S34" si="45">I34</f>
        <v>500</v>
      </c>
      <c r="K34" s="50">
        <f t="shared" si="45"/>
        <v>500</v>
      </c>
      <c r="L34" s="50">
        <f t="shared" si="45"/>
        <v>500</v>
      </c>
      <c r="M34" s="50">
        <f t="shared" si="45"/>
        <v>500</v>
      </c>
      <c r="N34" s="50">
        <f t="shared" si="45"/>
        <v>500</v>
      </c>
      <c r="O34" s="50">
        <f t="shared" si="45"/>
        <v>500</v>
      </c>
      <c r="P34" s="50">
        <f t="shared" si="45"/>
        <v>500</v>
      </c>
      <c r="Q34" s="50">
        <f t="shared" si="45"/>
        <v>500</v>
      </c>
      <c r="R34" s="50">
        <f t="shared" si="45"/>
        <v>500</v>
      </c>
      <c r="S34" s="50">
        <f t="shared" si="45"/>
        <v>500</v>
      </c>
      <c r="T34" s="50">
        <f>S34*(1+Assumptions!$C$23)</f>
        <v>525</v>
      </c>
      <c r="U34" s="50">
        <f>T34</f>
        <v>525</v>
      </c>
      <c r="V34" s="50">
        <f t="shared" ref="V34:AE34" si="46">U34</f>
        <v>525</v>
      </c>
      <c r="W34" s="50">
        <f t="shared" si="46"/>
        <v>525</v>
      </c>
      <c r="X34" s="50">
        <f t="shared" si="46"/>
        <v>525</v>
      </c>
      <c r="Y34" s="50">
        <f t="shared" si="46"/>
        <v>525</v>
      </c>
      <c r="Z34" s="50">
        <f t="shared" si="46"/>
        <v>525</v>
      </c>
      <c r="AA34" s="50">
        <f t="shared" si="46"/>
        <v>525</v>
      </c>
      <c r="AB34" s="50">
        <f t="shared" si="46"/>
        <v>525</v>
      </c>
      <c r="AC34" s="50">
        <f t="shared" si="46"/>
        <v>525</v>
      </c>
      <c r="AD34" s="50">
        <f t="shared" si="46"/>
        <v>525</v>
      </c>
      <c r="AE34" s="50">
        <f t="shared" si="46"/>
        <v>525</v>
      </c>
      <c r="AF34" s="50">
        <f>AE34*(1+Assumptions!$C$23)</f>
        <v>551.25</v>
      </c>
      <c r="AG34" s="50">
        <f>AF34</f>
        <v>551.25</v>
      </c>
      <c r="AH34" s="50">
        <f t="shared" ref="AH34:AN34" si="47">AG34</f>
        <v>551.25</v>
      </c>
      <c r="AI34" s="50">
        <f t="shared" si="47"/>
        <v>551.25</v>
      </c>
      <c r="AJ34" s="50">
        <f t="shared" si="47"/>
        <v>551.25</v>
      </c>
      <c r="AK34" s="50">
        <f t="shared" si="47"/>
        <v>551.25</v>
      </c>
      <c r="AL34" s="50">
        <f t="shared" si="47"/>
        <v>551.25</v>
      </c>
      <c r="AM34" s="50">
        <f t="shared" si="47"/>
        <v>551.25</v>
      </c>
      <c r="AN34" s="50">
        <f t="shared" si="47"/>
        <v>551.25</v>
      </c>
      <c r="AO34" s="50"/>
      <c r="AP34" s="42"/>
      <c r="AQ34" s="42"/>
    </row>
    <row r="35" spans="1:43" x14ac:dyDescent="0.3">
      <c r="A35" s="43" t="s">
        <v>22</v>
      </c>
      <c r="E35" s="50"/>
      <c r="F35" s="50"/>
      <c r="G35" s="50"/>
      <c r="H35" s="50">
        <f>Assumptions!C21</f>
        <v>200</v>
      </c>
      <c r="I35" s="50">
        <f t="shared" ref="I35:S36" si="48">H35</f>
        <v>200</v>
      </c>
      <c r="J35" s="50">
        <f t="shared" si="48"/>
        <v>200</v>
      </c>
      <c r="K35" s="50">
        <f t="shared" si="48"/>
        <v>200</v>
      </c>
      <c r="L35" s="50">
        <f t="shared" si="48"/>
        <v>200</v>
      </c>
      <c r="M35" s="50">
        <f t="shared" si="48"/>
        <v>200</v>
      </c>
      <c r="N35" s="50">
        <f t="shared" si="48"/>
        <v>200</v>
      </c>
      <c r="O35" s="50">
        <f t="shared" si="48"/>
        <v>200</v>
      </c>
      <c r="P35" s="50">
        <f t="shared" si="48"/>
        <v>200</v>
      </c>
      <c r="Q35" s="50">
        <f t="shared" si="48"/>
        <v>200</v>
      </c>
      <c r="R35" s="50">
        <f t="shared" si="48"/>
        <v>200</v>
      </c>
      <c r="S35" s="50">
        <f t="shared" si="48"/>
        <v>200</v>
      </c>
      <c r="T35" s="50">
        <f>S35*(1+Assumptions!$C$23)</f>
        <v>210</v>
      </c>
      <c r="U35" s="50">
        <f t="shared" ref="U35:AE36" si="49">T35</f>
        <v>210</v>
      </c>
      <c r="V35" s="50">
        <f t="shared" si="49"/>
        <v>210</v>
      </c>
      <c r="W35" s="50">
        <f t="shared" si="49"/>
        <v>210</v>
      </c>
      <c r="X35" s="50">
        <f t="shared" si="49"/>
        <v>210</v>
      </c>
      <c r="Y35" s="50">
        <f t="shared" si="49"/>
        <v>210</v>
      </c>
      <c r="Z35" s="50">
        <f t="shared" si="49"/>
        <v>210</v>
      </c>
      <c r="AA35" s="50">
        <f t="shared" si="49"/>
        <v>210</v>
      </c>
      <c r="AB35" s="50">
        <f t="shared" si="49"/>
        <v>210</v>
      </c>
      <c r="AC35" s="50">
        <f t="shared" si="49"/>
        <v>210</v>
      </c>
      <c r="AD35" s="50">
        <f t="shared" si="49"/>
        <v>210</v>
      </c>
      <c r="AE35" s="50">
        <f t="shared" si="49"/>
        <v>210</v>
      </c>
      <c r="AF35" s="50">
        <f>AE35*(1+Assumptions!$C$23)</f>
        <v>220.5</v>
      </c>
      <c r="AG35" s="50">
        <f t="shared" ref="AG35:AN36" si="50">AF35</f>
        <v>220.5</v>
      </c>
      <c r="AH35" s="50">
        <f t="shared" si="50"/>
        <v>220.5</v>
      </c>
      <c r="AI35" s="50">
        <f t="shared" si="50"/>
        <v>220.5</v>
      </c>
      <c r="AJ35" s="50">
        <f t="shared" si="50"/>
        <v>220.5</v>
      </c>
      <c r="AK35" s="50">
        <f t="shared" si="50"/>
        <v>220.5</v>
      </c>
      <c r="AL35" s="50">
        <f t="shared" si="50"/>
        <v>220.5</v>
      </c>
      <c r="AM35" s="50">
        <f t="shared" si="50"/>
        <v>220.5</v>
      </c>
      <c r="AN35" s="50">
        <f t="shared" si="50"/>
        <v>220.5</v>
      </c>
      <c r="AO35" s="50"/>
      <c r="AP35" s="42"/>
      <c r="AQ35" s="42"/>
    </row>
    <row r="36" spans="1:43" x14ac:dyDescent="0.3">
      <c r="A36" s="43" t="s">
        <v>23</v>
      </c>
      <c r="E36" s="50"/>
      <c r="F36" s="50"/>
      <c r="G36" s="50"/>
      <c r="H36" s="50">
        <f>Assumptions!C22</f>
        <v>1000</v>
      </c>
      <c r="I36" s="50">
        <f t="shared" si="48"/>
        <v>1000</v>
      </c>
      <c r="J36" s="50">
        <f t="shared" si="48"/>
        <v>1000</v>
      </c>
      <c r="K36" s="50">
        <f t="shared" si="48"/>
        <v>1000</v>
      </c>
      <c r="L36" s="50">
        <f t="shared" si="48"/>
        <v>1000</v>
      </c>
      <c r="M36" s="50">
        <f t="shared" si="48"/>
        <v>1000</v>
      </c>
      <c r="N36" s="50">
        <f t="shared" si="48"/>
        <v>1000</v>
      </c>
      <c r="O36" s="50">
        <f t="shared" si="48"/>
        <v>1000</v>
      </c>
      <c r="P36" s="50">
        <f t="shared" si="48"/>
        <v>1000</v>
      </c>
      <c r="Q36" s="50">
        <f t="shared" si="48"/>
        <v>1000</v>
      </c>
      <c r="R36" s="50">
        <f t="shared" si="48"/>
        <v>1000</v>
      </c>
      <c r="S36" s="50">
        <f t="shared" si="48"/>
        <v>1000</v>
      </c>
      <c r="T36" s="50">
        <f>S36*(1+Assumptions!$C$23)</f>
        <v>1050</v>
      </c>
      <c r="U36" s="50">
        <f t="shared" si="49"/>
        <v>1050</v>
      </c>
      <c r="V36" s="50">
        <f t="shared" si="49"/>
        <v>1050</v>
      </c>
      <c r="W36" s="50">
        <f t="shared" si="49"/>
        <v>1050</v>
      </c>
      <c r="X36" s="50">
        <f t="shared" si="49"/>
        <v>1050</v>
      </c>
      <c r="Y36" s="50">
        <f t="shared" si="49"/>
        <v>1050</v>
      </c>
      <c r="Z36" s="50">
        <f t="shared" si="49"/>
        <v>1050</v>
      </c>
      <c r="AA36" s="50">
        <f t="shared" si="49"/>
        <v>1050</v>
      </c>
      <c r="AB36" s="50">
        <f t="shared" si="49"/>
        <v>1050</v>
      </c>
      <c r="AC36" s="50">
        <f t="shared" si="49"/>
        <v>1050</v>
      </c>
      <c r="AD36" s="50">
        <f t="shared" si="49"/>
        <v>1050</v>
      </c>
      <c r="AE36" s="50">
        <f t="shared" si="49"/>
        <v>1050</v>
      </c>
      <c r="AF36" s="50">
        <f>AE36*(1+Assumptions!$C$23)</f>
        <v>1102.5</v>
      </c>
      <c r="AG36" s="50">
        <f t="shared" si="50"/>
        <v>1102.5</v>
      </c>
      <c r="AH36" s="50">
        <f t="shared" si="50"/>
        <v>1102.5</v>
      </c>
      <c r="AI36" s="50">
        <f t="shared" si="50"/>
        <v>1102.5</v>
      </c>
      <c r="AJ36" s="50">
        <f t="shared" si="50"/>
        <v>1102.5</v>
      </c>
      <c r="AK36" s="50">
        <f t="shared" si="50"/>
        <v>1102.5</v>
      </c>
      <c r="AL36" s="50">
        <f t="shared" si="50"/>
        <v>1102.5</v>
      </c>
      <c r="AM36" s="50">
        <f t="shared" si="50"/>
        <v>1102.5</v>
      </c>
      <c r="AN36" s="50">
        <f t="shared" si="50"/>
        <v>1102.5</v>
      </c>
      <c r="AO36" s="50"/>
      <c r="AP36" s="42"/>
      <c r="AQ36" s="42"/>
    </row>
    <row r="37" spans="1:43" s="48" customFormat="1" ht="15" thickBot="1" x14ac:dyDescent="0.35">
      <c r="A37" s="47" t="s">
        <v>59</v>
      </c>
      <c r="E37" s="54"/>
      <c r="F37" s="54"/>
      <c r="G37" s="54"/>
      <c r="H37" s="54">
        <f>SUM(H34:H36)</f>
        <v>1700</v>
      </c>
      <c r="I37" s="54">
        <f t="shared" ref="I37:AN37" si="51">SUM(I34:I36)</f>
        <v>1700</v>
      </c>
      <c r="J37" s="54">
        <f t="shared" si="51"/>
        <v>1700</v>
      </c>
      <c r="K37" s="54">
        <f t="shared" si="51"/>
        <v>1700</v>
      </c>
      <c r="L37" s="54">
        <f t="shared" si="51"/>
        <v>1700</v>
      </c>
      <c r="M37" s="54">
        <f t="shared" si="51"/>
        <v>1700</v>
      </c>
      <c r="N37" s="54">
        <f t="shared" si="51"/>
        <v>1700</v>
      </c>
      <c r="O37" s="54">
        <f t="shared" si="51"/>
        <v>1700</v>
      </c>
      <c r="P37" s="54">
        <f t="shared" si="51"/>
        <v>1700</v>
      </c>
      <c r="Q37" s="54">
        <f t="shared" si="51"/>
        <v>1700</v>
      </c>
      <c r="R37" s="54">
        <f t="shared" si="51"/>
        <v>1700</v>
      </c>
      <c r="S37" s="54">
        <f t="shared" si="51"/>
        <v>1700</v>
      </c>
      <c r="T37" s="54">
        <f t="shared" si="51"/>
        <v>1785</v>
      </c>
      <c r="U37" s="54">
        <f t="shared" si="51"/>
        <v>1785</v>
      </c>
      <c r="V37" s="54">
        <f t="shared" si="51"/>
        <v>1785</v>
      </c>
      <c r="W37" s="54">
        <f t="shared" si="51"/>
        <v>1785</v>
      </c>
      <c r="X37" s="54">
        <f t="shared" si="51"/>
        <v>1785</v>
      </c>
      <c r="Y37" s="54">
        <f t="shared" si="51"/>
        <v>1785</v>
      </c>
      <c r="Z37" s="54">
        <f t="shared" si="51"/>
        <v>1785</v>
      </c>
      <c r="AA37" s="54">
        <f t="shared" si="51"/>
        <v>1785</v>
      </c>
      <c r="AB37" s="54">
        <f t="shared" si="51"/>
        <v>1785</v>
      </c>
      <c r="AC37" s="54">
        <f t="shared" si="51"/>
        <v>1785</v>
      </c>
      <c r="AD37" s="54">
        <f t="shared" si="51"/>
        <v>1785</v>
      </c>
      <c r="AE37" s="54">
        <f t="shared" si="51"/>
        <v>1785</v>
      </c>
      <c r="AF37" s="54">
        <f t="shared" si="51"/>
        <v>1874.25</v>
      </c>
      <c r="AG37" s="54">
        <f t="shared" si="51"/>
        <v>1874.25</v>
      </c>
      <c r="AH37" s="54">
        <f t="shared" si="51"/>
        <v>1874.25</v>
      </c>
      <c r="AI37" s="54">
        <f t="shared" si="51"/>
        <v>1874.25</v>
      </c>
      <c r="AJ37" s="54">
        <f t="shared" si="51"/>
        <v>1874.25</v>
      </c>
      <c r="AK37" s="54">
        <f t="shared" si="51"/>
        <v>1874.25</v>
      </c>
      <c r="AL37" s="54">
        <f t="shared" si="51"/>
        <v>1874.25</v>
      </c>
      <c r="AM37" s="54">
        <f t="shared" si="51"/>
        <v>1874.25</v>
      </c>
      <c r="AN37" s="54">
        <f t="shared" si="51"/>
        <v>1874.25</v>
      </c>
      <c r="AO37" s="54"/>
      <c r="AP37" s="49"/>
      <c r="AQ37" s="49"/>
    </row>
    <row r="38" spans="1:43" x14ac:dyDescent="0.3">
      <c r="A38" s="45" t="s">
        <v>13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42"/>
      <c r="AQ38" s="42"/>
    </row>
    <row r="39" spans="1:43" x14ac:dyDescent="0.3">
      <c r="A39" s="43" t="s">
        <v>21</v>
      </c>
      <c r="E39" s="50"/>
      <c r="F39" s="50"/>
      <c r="G39" s="50"/>
      <c r="H39" s="50">
        <f>Assumptions!G20</f>
        <v>650</v>
      </c>
      <c r="I39" s="50">
        <f>H39</f>
        <v>650</v>
      </c>
      <c r="J39" s="50">
        <f t="shared" ref="J39:S39" si="52">I39</f>
        <v>650</v>
      </c>
      <c r="K39" s="50">
        <f t="shared" si="52"/>
        <v>650</v>
      </c>
      <c r="L39" s="50">
        <f t="shared" si="52"/>
        <v>650</v>
      </c>
      <c r="M39" s="50">
        <f t="shared" si="52"/>
        <v>650</v>
      </c>
      <c r="N39" s="50">
        <f t="shared" si="52"/>
        <v>650</v>
      </c>
      <c r="O39" s="50">
        <f t="shared" si="52"/>
        <v>650</v>
      </c>
      <c r="P39" s="50">
        <f t="shared" si="52"/>
        <v>650</v>
      </c>
      <c r="Q39" s="50">
        <f t="shared" si="52"/>
        <v>650</v>
      </c>
      <c r="R39" s="50">
        <f t="shared" si="52"/>
        <v>650</v>
      </c>
      <c r="S39" s="50">
        <f t="shared" si="52"/>
        <v>650</v>
      </c>
      <c r="T39" s="50">
        <f>S39*(1+Assumptions!$G$23)</f>
        <v>682.5</v>
      </c>
      <c r="U39" s="50">
        <f>T39</f>
        <v>682.5</v>
      </c>
      <c r="V39" s="50">
        <f t="shared" ref="V39:AE39" si="53">U39</f>
        <v>682.5</v>
      </c>
      <c r="W39" s="50">
        <f t="shared" si="53"/>
        <v>682.5</v>
      </c>
      <c r="X39" s="50">
        <f t="shared" si="53"/>
        <v>682.5</v>
      </c>
      <c r="Y39" s="50">
        <f t="shared" si="53"/>
        <v>682.5</v>
      </c>
      <c r="Z39" s="50">
        <f t="shared" si="53"/>
        <v>682.5</v>
      </c>
      <c r="AA39" s="50">
        <f t="shared" si="53"/>
        <v>682.5</v>
      </c>
      <c r="AB39" s="50">
        <f t="shared" si="53"/>
        <v>682.5</v>
      </c>
      <c r="AC39" s="50">
        <f t="shared" si="53"/>
        <v>682.5</v>
      </c>
      <c r="AD39" s="50">
        <f t="shared" si="53"/>
        <v>682.5</v>
      </c>
      <c r="AE39" s="50">
        <f t="shared" si="53"/>
        <v>682.5</v>
      </c>
      <c r="AF39" s="50">
        <f>AE39*(1+Assumptions!$G$23)</f>
        <v>716.625</v>
      </c>
      <c r="AG39" s="50">
        <f>AF39</f>
        <v>716.625</v>
      </c>
      <c r="AH39" s="50">
        <f t="shared" ref="AH39:AN39" si="54">AG39</f>
        <v>716.625</v>
      </c>
      <c r="AI39" s="50">
        <f t="shared" si="54"/>
        <v>716.625</v>
      </c>
      <c r="AJ39" s="50">
        <f t="shared" si="54"/>
        <v>716.625</v>
      </c>
      <c r="AK39" s="50">
        <f t="shared" si="54"/>
        <v>716.625</v>
      </c>
      <c r="AL39" s="50">
        <f t="shared" si="54"/>
        <v>716.625</v>
      </c>
      <c r="AM39" s="50">
        <f t="shared" si="54"/>
        <v>716.625</v>
      </c>
      <c r="AN39" s="50">
        <f t="shared" si="54"/>
        <v>716.625</v>
      </c>
      <c r="AO39" s="50"/>
      <c r="AP39" s="42"/>
      <c r="AQ39" s="42"/>
    </row>
    <row r="40" spans="1:43" x14ac:dyDescent="0.3">
      <c r="A40" s="43" t="s">
        <v>22</v>
      </c>
      <c r="E40" s="50"/>
      <c r="F40" s="50"/>
      <c r="G40" s="50"/>
      <c r="H40" s="50">
        <f>Assumptions!G21</f>
        <v>250</v>
      </c>
      <c r="I40" s="50">
        <f t="shared" ref="I40:S41" si="55">H40</f>
        <v>250</v>
      </c>
      <c r="J40" s="50">
        <f t="shared" si="55"/>
        <v>250</v>
      </c>
      <c r="K40" s="50">
        <f t="shared" si="55"/>
        <v>250</v>
      </c>
      <c r="L40" s="50">
        <f t="shared" si="55"/>
        <v>250</v>
      </c>
      <c r="M40" s="50">
        <f t="shared" si="55"/>
        <v>250</v>
      </c>
      <c r="N40" s="50">
        <f t="shared" si="55"/>
        <v>250</v>
      </c>
      <c r="O40" s="50">
        <f t="shared" si="55"/>
        <v>250</v>
      </c>
      <c r="P40" s="50">
        <f t="shared" si="55"/>
        <v>250</v>
      </c>
      <c r="Q40" s="50">
        <f t="shared" si="55"/>
        <v>250</v>
      </c>
      <c r="R40" s="50">
        <f t="shared" si="55"/>
        <v>250</v>
      </c>
      <c r="S40" s="50">
        <f t="shared" si="55"/>
        <v>250</v>
      </c>
      <c r="T40" s="50">
        <f>S40*(1+Assumptions!$G$23)</f>
        <v>262.5</v>
      </c>
      <c r="U40" s="50">
        <f t="shared" ref="U40:AE41" si="56">T40</f>
        <v>262.5</v>
      </c>
      <c r="V40" s="50">
        <f t="shared" si="56"/>
        <v>262.5</v>
      </c>
      <c r="W40" s="50">
        <f t="shared" si="56"/>
        <v>262.5</v>
      </c>
      <c r="X40" s="50">
        <f t="shared" si="56"/>
        <v>262.5</v>
      </c>
      <c r="Y40" s="50">
        <f t="shared" si="56"/>
        <v>262.5</v>
      </c>
      <c r="Z40" s="50">
        <f t="shared" si="56"/>
        <v>262.5</v>
      </c>
      <c r="AA40" s="50">
        <f t="shared" si="56"/>
        <v>262.5</v>
      </c>
      <c r="AB40" s="50">
        <f t="shared" si="56"/>
        <v>262.5</v>
      </c>
      <c r="AC40" s="50">
        <f t="shared" si="56"/>
        <v>262.5</v>
      </c>
      <c r="AD40" s="50">
        <f t="shared" si="56"/>
        <v>262.5</v>
      </c>
      <c r="AE40" s="50">
        <f t="shared" si="56"/>
        <v>262.5</v>
      </c>
      <c r="AF40" s="50">
        <f>AE40*(1+Assumptions!$G$23)</f>
        <v>275.625</v>
      </c>
      <c r="AG40" s="50">
        <f t="shared" ref="AG40:AN41" si="57">AF40</f>
        <v>275.625</v>
      </c>
      <c r="AH40" s="50">
        <f t="shared" si="57"/>
        <v>275.625</v>
      </c>
      <c r="AI40" s="50">
        <f t="shared" si="57"/>
        <v>275.625</v>
      </c>
      <c r="AJ40" s="50">
        <f t="shared" si="57"/>
        <v>275.625</v>
      </c>
      <c r="AK40" s="50">
        <f t="shared" si="57"/>
        <v>275.625</v>
      </c>
      <c r="AL40" s="50">
        <f t="shared" si="57"/>
        <v>275.625</v>
      </c>
      <c r="AM40" s="50">
        <f t="shared" si="57"/>
        <v>275.625</v>
      </c>
      <c r="AN40" s="50">
        <f t="shared" si="57"/>
        <v>275.625</v>
      </c>
      <c r="AO40" s="50"/>
      <c r="AP40" s="42"/>
      <c r="AQ40" s="42"/>
    </row>
    <row r="41" spans="1:43" x14ac:dyDescent="0.3">
      <c r="A41" s="43" t="s">
        <v>23</v>
      </c>
      <c r="E41" s="50"/>
      <c r="F41" s="50"/>
      <c r="G41" s="50"/>
      <c r="H41" s="50">
        <f>Assumptions!G22</f>
        <v>1000</v>
      </c>
      <c r="I41" s="50">
        <f t="shared" si="55"/>
        <v>1000</v>
      </c>
      <c r="J41" s="50">
        <f t="shared" si="55"/>
        <v>1000</v>
      </c>
      <c r="K41" s="50">
        <f t="shared" si="55"/>
        <v>1000</v>
      </c>
      <c r="L41" s="50">
        <f t="shared" si="55"/>
        <v>1000</v>
      </c>
      <c r="M41" s="50">
        <f t="shared" si="55"/>
        <v>1000</v>
      </c>
      <c r="N41" s="50">
        <f t="shared" si="55"/>
        <v>1000</v>
      </c>
      <c r="O41" s="50">
        <f t="shared" si="55"/>
        <v>1000</v>
      </c>
      <c r="P41" s="50">
        <f t="shared" si="55"/>
        <v>1000</v>
      </c>
      <c r="Q41" s="50">
        <f t="shared" si="55"/>
        <v>1000</v>
      </c>
      <c r="R41" s="50">
        <f t="shared" si="55"/>
        <v>1000</v>
      </c>
      <c r="S41" s="50">
        <f t="shared" si="55"/>
        <v>1000</v>
      </c>
      <c r="T41" s="50">
        <f>S41*(1+Assumptions!$G$23)</f>
        <v>1050</v>
      </c>
      <c r="U41" s="50">
        <f t="shared" si="56"/>
        <v>1050</v>
      </c>
      <c r="V41" s="50">
        <f t="shared" si="56"/>
        <v>1050</v>
      </c>
      <c r="W41" s="50">
        <f t="shared" si="56"/>
        <v>1050</v>
      </c>
      <c r="X41" s="50">
        <f t="shared" si="56"/>
        <v>1050</v>
      </c>
      <c r="Y41" s="50">
        <f t="shared" si="56"/>
        <v>1050</v>
      </c>
      <c r="Z41" s="50">
        <f t="shared" si="56"/>
        <v>1050</v>
      </c>
      <c r="AA41" s="50">
        <f t="shared" si="56"/>
        <v>1050</v>
      </c>
      <c r="AB41" s="50">
        <f t="shared" si="56"/>
        <v>1050</v>
      </c>
      <c r="AC41" s="50">
        <f t="shared" si="56"/>
        <v>1050</v>
      </c>
      <c r="AD41" s="50">
        <f t="shared" si="56"/>
        <v>1050</v>
      </c>
      <c r="AE41" s="50">
        <f t="shared" si="56"/>
        <v>1050</v>
      </c>
      <c r="AF41" s="50">
        <f>AE41*(1+Assumptions!$G$23)</f>
        <v>1102.5</v>
      </c>
      <c r="AG41" s="50">
        <f t="shared" si="57"/>
        <v>1102.5</v>
      </c>
      <c r="AH41" s="50">
        <f t="shared" si="57"/>
        <v>1102.5</v>
      </c>
      <c r="AI41" s="50">
        <f t="shared" si="57"/>
        <v>1102.5</v>
      </c>
      <c r="AJ41" s="50">
        <f t="shared" si="57"/>
        <v>1102.5</v>
      </c>
      <c r="AK41" s="50">
        <f t="shared" si="57"/>
        <v>1102.5</v>
      </c>
      <c r="AL41" s="50">
        <f t="shared" si="57"/>
        <v>1102.5</v>
      </c>
      <c r="AM41" s="50">
        <f t="shared" si="57"/>
        <v>1102.5</v>
      </c>
      <c r="AN41" s="50">
        <f t="shared" si="57"/>
        <v>1102.5</v>
      </c>
      <c r="AO41" s="50"/>
      <c r="AP41" s="42"/>
      <c r="AQ41" s="42"/>
    </row>
    <row r="42" spans="1:43" s="48" customFormat="1" ht="15" thickBot="1" x14ac:dyDescent="0.35">
      <c r="A42" s="47" t="s">
        <v>59</v>
      </c>
      <c r="E42" s="54"/>
      <c r="F42" s="54"/>
      <c r="G42" s="54"/>
      <c r="H42" s="54">
        <f>SUM(H39:H41)</f>
        <v>1900</v>
      </c>
      <c r="I42" s="54">
        <f t="shared" ref="I42:AN42" si="58">SUM(I39:I41)</f>
        <v>1900</v>
      </c>
      <c r="J42" s="54">
        <f t="shared" si="58"/>
        <v>1900</v>
      </c>
      <c r="K42" s="54">
        <f t="shared" si="58"/>
        <v>1900</v>
      </c>
      <c r="L42" s="54">
        <f t="shared" si="58"/>
        <v>1900</v>
      </c>
      <c r="M42" s="54">
        <f t="shared" si="58"/>
        <v>1900</v>
      </c>
      <c r="N42" s="54">
        <f t="shared" si="58"/>
        <v>1900</v>
      </c>
      <c r="O42" s="54">
        <f t="shared" si="58"/>
        <v>1900</v>
      </c>
      <c r="P42" s="54">
        <f t="shared" si="58"/>
        <v>1900</v>
      </c>
      <c r="Q42" s="54">
        <f t="shared" si="58"/>
        <v>1900</v>
      </c>
      <c r="R42" s="54">
        <f t="shared" si="58"/>
        <v>1900</v>
      </c>
      <c r="S42" s="54">
        <f t="shared" si="58"/>
        <v>1900</v>
      </c>
      <c r="T42" s="54">
        <f t="shared" si="58"/>
        <v>1995</v>
      </c>
      <c r="U42" s="54">
        <f t="shared" si="58"/>
        <v>1995</v>
      </c>
      <c r="V42" s="54">
        <f t="shared" si="58"/>
        <v>1995</v>
      </c>
      <c r="W42" s="54">
        <f t="shared" si="58"/>
        <v>1995</v>
      </c>
      <c r="X42" s="54">
        <f t="shared" si="58"/>
        <v>1995</v>
      </c>
      <c r="Y42" s="54">
        <f t="shared" si="58"/>
        <v>1995</v>
      </c>
      <c r="Z42" s="54">
        <f t="shared" si="58"/>
        <v>1995</v>
      </c>
      <c r="AA42" s="54">
        <f t="shared" si="58"/>
        <v>1995</v>
      </c>
      <c r="AB42" s="54">
        <f t="shared" si="58"/>
        <v>1995</v>
      </c>
      <c r="AC42" s="54">
        <f t="shared" si="58"/>
        <v>1995</v>
      </c>
      <c r="AD42" s="54">
        <f t="shared" si="58"/>
        <v>1995</v>
      </c>
      <c r="AE42" s="54">
        <f t="shared" si="58"/>
        <v>1995</v>
      </c>
      <c r="AF42" s="54">
        <f t="shared" si="58"/>
        <v>2094.75</v>
      </c>
      <c r="AG42" s="54">
        <f t="shared" si="58"/>
        <v>2094.75</v>
      </c>
      <c r="AH42" s="54">
        <f t="shared" si="58"/>
        <v>2094.75</v>
      </c>
      <c r="AI42" s="54">
        <f t="shared" si="58"/>
        <v>2094.75</v>
      </c>
      <c r="AJ42" s="54">
        <f t="shared" si="58"/>
        <v>2094.75</v>
      </c>
      <c r="AK42" s="54">
        <f t="shared" si="58"/>
        <v>2094.75</v>
      </c>
      <c r="AL42" s="54">
        <f t="shared" si="58"/>
        <v>2094.75</v>
      </c>
      <c r="AM42" s="54">
        <f t="shared" si="58"/>
        <v>2094.75</v>
      </c>
      <c r="AN42" s="54">
        <f t="shared" si="58"/>
        <v>2094.75</v>
      </c>
      <c r="AO42" s="54"/>
      <c r="AP42" s="49"/>
      <c r="AQ42" s="49"/>
    </row>
    <row r="43" spans="1:43" x14ac:dyDescent="0.3"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42"/>
      <c r="AQ43" s="42"/>
    </row>
    <row r="44" spans="1:43" x14ac:dyDescent="0.3">
      <c r="A44" s="108" t="s">
        <v>101</v>
      </c>
      <c r="B44" s="108"/>
      <c r="C44" s="108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42"/>
      <c r="AQ44" s="42"/>
    </row>
    <row r="45" spans="1:43" x14ac:dyDescent="0.3">
      <c r="A45" s="6" t="s">
        <v>14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42"/>
      <c r="AQ45" s="42"/>
    </row>
    <row r="46" spans="1:43" x14ac:dyDescent="0.3">
      <c r="A46" s="1" t="s">
        <v>12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42"/>
      <c r="AQ46" s="42"/>
    </row>
    <row r="47" spans="1:43" x14ac:dyDescent="0.3">
      <c r="A47" s="43" t="s">
        <v>21</v>
      </c>
      <c r="E47" s="50"/>
      <c r="F47" s="50"/>
      <c r="G47" s="50"/>
      <c r="H47" s="50">
        <f t="shared" ref="H47:I49" si="59">H23*H$13*H$8</f>
        <v>138000</v>
      </c>
      <c r="I47" s="50">
        <f t="shared" si="59"/>
        <v>128520</v>
      </c>
      <c r="J47" s="50">
        <f t="shared" ref="J47:AN47" si="60">J23*J$13*J$8</f>
        <v>137332.79999999999</v>
      </c>
      <c r="K47" s="50">
        <f t="shared" si="60"/>
        <v>140079.45600000001</v>
      </c>
      <c r="L47" s="50">
        <f t="shared" si="60"/>
        <v>136386.45216000002</v>
      </c>
      <c r="M47" s="50">
        <f t="shared" si="60"/>
        <v>152363.15084160003</v>
      </c>
      <c r="N47" s="50">
        <f t="shared" si="60"/>
        <v>141896.46482726402</v>
      </c>
      <c r="O47" s="50">
        <f t="shared" si="60"/>
        <v>137842.28011791361</v>
      </c>
      <c r="P47" s="50">
        <f t="shared" si="60"/>
        <v>161688.99457831265</v>
      </c>
      <c r="Q47" s="50">
        <f t="shared" si="60"/>
        <v>157752.21905814504</v>
      </c>
      <c r="R47" s="50">
        <f t="shared" si="60"/>
        <v>153593.29691933939</v>
      </c>
      <c r="S47" s="50">
        <f t="shared" si="60"/>
        <v>164125.40870809412</v>
      </c>
      <c r="T47" s="50">
        <f t="shared" si="60"/>
        <v>175778.31272636878</v>
      </c>
      <c r="U47" s="50">
        <f t="shared" si="60"/>
        <v>179293.87898089614</v>
      </c>
      <c r="V47" s="50">
        <f t="shared" si="60"/>
        <v>182879.75656051407</v>
      </c>
      <c r="W47" s="50">
        <f t="shared" si="60"/>
        <v>178058.38116028236</v>
      </c>
      <c r="X47" s="50">
        <f t="shared" si="60"/>
        <v>190268.0987255589</v>
      </c>
      <c r="Y47" s="50">
        <f t="shared" si="60"/>
        <v>202894.98164098235</v>
      </c>
      <c r="Z47" s="50">
        <f t="shared" si="60"/>
        <v>188956.97855434095</v>
      </c>
      <c r="AA47" s="50">
        <f t="shared" si="60"/>
        <v>183558.20773850265</v>
      </c>
      <c r="AB47" s="50">
        <f t="shared" si="60"/>
        <v>215313.7776772636</v>
      </c>
      <c r="AC47" s="50">
        <f t="shared" si="60"/>
        <v>200522.65729769506</v>
      </c>
      <c r="AD47" s="50">
        <f t="shared" si="60"/>
        <v>214272.78236953702</v>
      </c>
      <c r="AE47" s="50">
        <f t="shared" si="60"/>
        <v>218558.23801692776</v>
      </c>
      <c r="AF47" s="50">
        <f t="shared" si="60"/>
        <v>223436.06051085101</v>
      </c>
      <c r="AG47" s="50">
        <f t="shared" si="60"/>
        <v>249609.9990278364</v>
      </c>
      <c r="AH47" s="50">
        <f t="shared" si="60"/>
        <v>243532.53818194129</v>
      </c>
      <c r="AI47" s="50">
        <f t="shared" si="60"/>
        <v>237112.13490259918</v>
      </c>
      <c r="AJ47" s="50">
        <f t="shared" si="60"/>
        <v>253371.25272449173</v>
      </c>
      <c r="AK47" s="50">
        <f t="shared" si="60"/>
        <v>258438.67777898154</v>
      </c>
      <c r="AL47" s="50">
        <f t="shared" si="60"/>
        <v>263607.45133456122</v>
      </c>
      <c r="AM47" s="50">
        <f t="shared" si="60"/>
        <v>244436.00032841132</v>
      </c>
      <c r="AN47" s="50">
        <f t="shared" si="60"/>
        <v>286723.42838522646</v>
      </c>
      <c r="AO47" s="50"/>
      <c r="AP47" s="42"/>
      <c r="AQ47" s="42"/>
    </row>
    <row r="48" spans="1:43" x14ac:dyDescent="0.3">
      <c r="A48" s="43" t="s">
        <v>22</v>
      </c>
      <c r="E48" s="50"/>
      <c r="F48" s="50"/>
      <c r="G48" s="50"/>
      <c r="H48" s="50">
        <f t="shared" si="59"/>
        <v>92000</v>
      </c>
      <c r="I48" s="50">
        <f t="shared" si="59"/>
        <v>85679.999999999985</v>
      </c>
      <c r="J48" s="50">
        <f t="shared" ref="J48:AN48" si="61">J24*J$13*J$8</f>
        <v>91555.200000000012</v>
      </c>
      <c r="K48" s="50">
        <f t="shared" si="61"/>
        <v>93386.304000000004</v>
      </c>
      <c r="L48" s="50">
        <f t="shared" si="61"/>
        <v>90924.30144000001</v>
      </c>
      <c r="M48" s="50">
        <f t="shared" si="61"/>
        <v>101575.4338944</v>
      </c>
      <c r="N48" s="50">
        <f t="shared" si="61"/>
        <v>94597.643218176017</v>
      </c>
      <c r="O48" s="50">
        <f t="shared" si="61"/>
        <v>91894.8534119424</v>
      </c>
      <c r="P48" s="50">
        <f t="shared" si="61"/>
        <v>107792.66305220845</v>
      </c>
      <c r="Q48" s="50">
        <f t="shared" si="61"/>
        <v>105168.14603876337</v>
      </c>
      <c r="R48" s="50">
        <f t="shared" si="61"/>
        <v>102395.53127955961</v>
      </c>
      <c r="S48" s="50">
        <f t="shared" si="61"/>
        <v>109416.93913872942</v>
      </c>
      <c r="T48" s="50">
        <f t="shared" si="61"/>
        <v>117185.5418175792</v>
      </c>
      <c r="U48" s="50">
        <f t="shared" si="61"/>
        <v>119529.25265393077</v>
      </c>
      <c r="V48" s="50">
        <f t="shared" si="61"/>
        <v>121919.8377070094</v>
      </c>
      <c r="W48" s="50">
        <f t="shared" si="61"/>
        <v>118705.58744018823</v>
      </c>
      <c r="X48" s="50">
        <f t="shared" si="61"/>
        <v>126845.39915037258</v>
      </c>
      <c r="Y48" s="50">
        <f t="shared" si="61"/>
        <v>135263.32109398823</v>
      </c>
      <c r="Z48" s="50">
        <f t="shared" si="61"/>
        <v>125971.3190362273</v>
      </c>
      <c r="AA48" s="50">
        <f t="shared" si="61"/>
        <v>122372.13849233509</v>
      </c>
      <c r="AB48" s="50">
        <f t="shared" si="61"/>
        <v>143542.51845150904</v>
      </c>
      <c r="AC48" s="50">
        <f t="shared" si="61"/>
        <v>133681.77153179669</v>
      </c>
      <c r="AD48" s="50">
        <f t="shared" si="61"/>
        <v>142848.52157969133</v>
      </c>
      <c r="AE48" s="50">
        <f t="shared" si="61"/>
        <v>145705.49201128515</v>
      </c>
      <c r="AF48" s="50">
        <f t="shared" si="61"/>
        <v>148957.37367390067</v>
      </c>
      <c r="AG48" s="50">
        <f t="shared" si="61"/>
        <v>166406.66601855759</v>
      </c>
      <c r="AH48" s="50">
        <f t="shared" si="61"/>
        <v>162355.02545462752</v>
      </c>
      <c r="AI48" s="50">
        <f t="shared" si="61"/>
        <v>158074.75660173281</v>
      </c>
      <c r="AJ48" s="50">
        <f t="shared" si="61"/>
        <v>168914.16848299449</v>
      </c>
      <c r="AK48" s="50">
        <f t="shared" si="61"/>
        <v>172292.45185265437</v>
      </c>
      <c r="AL48" s="50">
        <f t="shared" si="61"/>
        <v>175738.30088970746</v>
      </c>
      <c r="AM48" s="50">
        <f t="shared" si="61"/>
        <v>162957.33355227418</v>
      </c>
      <c r="AN48" s="50">
        <f t="shared" si="61"/>
        <v>191148.95225681766</v>
      </c>
      <c r="AO48" s="50"/>
      <c r="AP48" s="42"/>
      <c r="AQ48" s="42"/>
    </row>
    <row r="49" spans="1:43" x14ac:dyDescent="0.3">
      <c r="A49" s="43" t="s">
        <v>23</v>
      </c>
      <c r="E49" s="50"/>
      <c r="F49" s="50"/>
      <c r="G49" s="50"/>
      <c r="H49" s="50">
        <f t="shared" si="59"/>
        <v>460000</v>
      </c>
      <c r="I49" s="50">
        <f t="shared" si="59"/>
        <v>428400</v>
      </c>
      <c r="J49" s="50">
        <f t="shared" ref="J49:AN49" si="62">J25*J$13*J$8</f>
        <v>457776</v>
      </c>
      <c r="K49" s="50">
        <f t="shared" si="62"/>
        <v>466931.52</v>
      </c>
      <c r="L49" s="50">
        <f t="shared" si="62"/>
        <v>454621.50720000005</v>
      </c>
      <c r="M49" s="50">
        <f t="shared" si="62"/>
        <v>507877.16947200004</v>
      </c>
      <c r="N49" s="50">
        <f t="shared" si="62"/>
        <v>472988.21609088004</v>
      </c>
      <c r="O49" s="50">
        <f t="shared" si="62"/>
        <v>459474.26705971197</v>
      </c>
      <c r="P49" s="50">
        <f t="shared" si="62"/>
        <v>538963.31526104221</v>
      </c>
      <c r="Q49" s="50">
        <f t="shared" si="62"/>
        <v>525840.73019381682</v>
      </c>
      <c r="R49" s="50">
        <f t="shared" si="62"/>
        <v>511977.65639779798</v>
      </c>
      <c r="S49" s="50">
        <f t="shared" si="62"/>
        <v>547084.69569364702</v>
      </c>
      <c r="T49" s="50">
        <f t="shared" si="62"/>
        <v>585927.70908789604</v>
      </c>
      <c r="U49" s="50">
        <f t="shared" si="62"/>
        <v>597646.26326965389</v>
      </c>
      <c r="V49" s="50">
        <f t="shared" si="62"/>
        <v>609599.188535047</v>
      </c>
      <c r="W49" s="50">
        <f t="shared" si="62"/>
        <v>593527.93720094126</v>
      </c>
      <c r="X49" s="50">
        <f t="shared" si="62"/>
        <v>634226.99575186288</v>
      </c>
      <c r="Y49" s="50">
        <f t="shared" si="62"/>
        <v>676316.60546994116</v>
      </c>
      <c r="Z49" s="50">
        <f t="shared" si="62"/>
        <v>629856.59518113651</v>
      </c>
      <c r="AA49" s="50">
        <f t="shared" si="62"/>
        <v>611860.69246167538</v>
      </c>
      <c r="AB49" s="50">
        <f t="shared" si="62"/>
        <v>717712.59225754533</v>
      </c>
      <c r="AC49" s="50">
        <f t="shared" si="62"/>
        <v>668408.85765898344</v>
      </c>
      <c r="AD49" s="50">
        <f t="shared" si="62"/>
        <v>714242.60789845663</v>
      </c>
      <c r="AE49" s="50">
        <f t="shared" si="62"/>
        <v>728527.46005642577</v>
      </c>
      <c r="AF49" s="50">
        <f t="shared" si="62"/>
        <v>744786.86836950341</v>
      </c>
      <c r="AG49" s="50">
        <f t="shared" si="62"/>
        <v>832033.33009278798</v>
      </c>
      <c r="AH49" s="50">
        <f t="shared" si="62"/>
        <v>811775.12727313768</v>
      </c>
      <c r="AI49" s="50">
        <f t="shared" si="62"/>
        <v>790373.78300866403</v>
      </c>
      <c r="AJ49" s="50">
        <f t="shared" si="62"/>
        <v>844570.84241497249</v>
      </c>
      <c r="AK49" s="50">
        <f t="shared" si="62"/>
        <v>861462.25926327182</v>
      </c>
      <c r="AL49" s="50">
        <f t="shared" si="62"/>
        <v>878691.50444853725</v>
      </c>
      <c r="AM49" s="50">
        <f t="shared" si="62"/>
        <v>814786.66776137101</v>
      </c>
      <c r="AN49" s="50">
        <f t="shared" si="62"/>
        <v>955744.76128408825</v>
      </c>
      <c r="AO49" s="50"/>
      <c r="AP49" s="42"/>
      <c r="AQ49" s="42"/>
    </row>
    <row r="50" spans="1:43" s="47" customFormat="1" ht="15" thickBot="1" x14ac:dyDescent="0.35">
      <c r="A50" s="47" t="s">
        <v>59</v>
      </c>
      <c r="E50" s="52"/>
      <c r="F50" s="52"/>
      <c r="G50" s="52"/>
      <c r="H50" s="52">
        <f>SUM(H47:H49)</f>
        <v>690000</v>
      </c>
      <c r="I50" s="52">
        <f t="shared" ref="I50:AN50" si="63">SUM(I47:I49)</f>
        <v>642600</v>
      </c>
      <c r="J50" s="52">
        <f t="shared" si="63"/>
        <v>686664</v>
      </c>
      <c r="K50" s="52">
        <f t="shared" si="63"/>
        <v>700397.28</v>
      </c>
      <c r="L50" s="52">
        <f t="shared" si="63"/>
        <v>681932.26080000005</v>
      </c>
      <c r="M50" s="52">
        <f t="shared" si="63"/>
        <v>761815.75420800014</v>
      </c>
      <c r="N50" s="52">
        <f t="shared" si="63"/>
        <v>709482.32413632004</v>
      </c>
      <c r="O50" s="52">
        <f t="shared" si="63"/>
        <v>689211.40058956796</v>
      </c>
      <c r="P50" s="52">
        <f t="shared" si="63"/>
        <v>808444.97289156332</v>
      </c>
      <c r="Q50" s="52">
        <f t="shared" si="63"/>
        <v>788761.09529072524</v>
      </c>
      <c r="R50" s="52">
        <f t="shared" si="63"/>
        <v>767966.48459669692</v>
      </c>
      <c r="S50" s="52">
        <f t="shared" si="63"/>
        <v>820627.04354047053</v>
      </c>
      <c r="T50" s="52">
        <f t="shared" si="63"/>
        <v>878891.56363184401</v>
      </c>
      <c r="U50" s="52">
        <f t="shared" si="63"/>
        <v>896469.39490448078</v>
      </c>
      <c r="V50" s="52">
        <f t="shared" si="63"/>
        <v>914398.78280257049</v>
      </c>
      <c r="W50" s="52">
        <f t="shared" si="63"/>
        <v>890291.90580141183</v>
      </c>
      <c r="X50" s="52">
        <f t="shared" si="63"/>
        <v>951340.49362779432</v>
      </c>
      <c r="Y50" s="52">
        <f t="shared" si="63"/>
        <v>1014474.9082049117</v>
      </c>
      <c r="Z50" s="52">
        <f t="shared" si="63"/>
        <v>944784.89277170482</v>
      </c>
      <c r="AA50" s="52">
        <f t="shared" si="63"/>
        <v>917791.03869251313</v>
      </c>
      <c r="AB50" s="52">
        <f t="shared" si="63"/>
        <v>1076568.888386318</v>
      </c>
      <c r="AC50" s="52">
        <f t="shared" si="63"/>
        <v>1002613.2864884752</v>
      </c>
      <c r="AD50" s="52">
        <f t="shared" si="63"/>
        <v>1071363.911847685</v>
      </c>
      <c r="AE50" s="52">
        <f t="shared" si="63"/>
        <v>1092791.1900846385</v>
      </c>
      <c r="AF50" s="52">
        <f t="shared" si="63"/>
        <v>1117180.3025542551</v>
      </c>
      <c r="AG50" s="52">
        <f t="shared" si="63"/>
        <v>1248049.9951391821</v>
      </c>
      <c r="AH50" s="52">
        <f t="shared" si="63"/>
        <v>1217662.6909097065</v>
      </c>
      <c r="AI50" s="52">
        <f t="shared" si="63"/>
        <v>1185560.6745129959</v>
      </c>
      <c r="AJ50" s="52">
        <f t="shared" si="63"/>
        <v>1266856.2636224586</v>
      </c>
      <c r="AK50" s="52">
        <f t="shared" si="63"/>
        <v>1292193.3888949077</v>
      </c>
      <c r="AL50" s="52">
        <f t="shared" si="63"/>
        <v>1318037.2566728059</v>
      </c>
      <c r="AM50" s="52">
        <f t="shared" si="63"/>
        <v>1222180.0016420565</v>
      </c>
      <c r="AN50" s="52">
        <f t="shared" si="63"/>
        <v>1433617.1419261324</v>
      </c>
      <c r="AO50" s="52"/>
    </row>
    <row r="51" spans="1:43" x14ac:dyDescent="0.3">
      <c r="A51" s="45" t="s">
        <v>13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42"/>
      <c r="AQ51" s="42"/>
    </row>
    <row r="52" spans="1:43" x14ac:dyDescent="0.3">
      <c r="A52" s="43" t="s">
        <v>21</v>
      </c>
      <c r="E52" s="50"/>
      <c r="F52" s="50"/>
      <c r="G52" s="50"/>
      <c r="H52" s="50">
        <f>H28*H$14*H$8</f>
        <v>239200</v>
      </c>
      <c r="I52" s="50">
        <f t="shared" ref="I52:J52" si="64">I28*I$14*I$8</f>
        <v>222768</v>
      </c>
      <c r="J52" s="50">
        <f t="shared" si="64"/>
        <v>238043.51999999999</v>
      </c>
      <c r="K52" s="50">
        <f t="shared" ref="K52:AN52" si="65">K28*K$14*K$8</f>
        <v>242804.3904</v>
      </c>
      <c r="L52" s="50">
        <f t="shared" si="65"/>
        <v>236403.18374400001</v>
      </c>
      <c r="M52" s="50">
        <f t="shared" si="65"/>
        <v>264096.12812544004</v>
      </c>
      <c r="N52" s="50">
        <f t="shared" si="65"/>
        <v>245953.8723672576</v>
      </c>
      <c r="O52" s="50">
        <f t="shared" si="65"/>
        <v>238926.61887105025</v>
      </c>
      <c r="P52" s="50">
        <f t="shared" si="65"/>
        <v>280260.92393574194</v>
      </c>
      <c r="Q52" s="50">
        <f t="shared" si="65"/>
        <v>273437.17970078473</v>
      </c>
      <c r="R52" s="50">
        <f t="shared" si="65"/>
        <v>266228.38132685499</v>
      </c>
      <c r="S52" s="50">
        <f t="shared" si="65"/>
        <v>284484.04176069645</v>
      </c>
      <c r="T52" s="50">
        <f t="shared" si="65"/>
        <v>304682.40872570587</v>
      </c>
      <c r="U52" s="50">
        <f t="shared" si="65"/>
        <v>310776.05690021999</v>
      </c>
      <c r="V52" s="50">
        <f t="shared" si="65"/>
        <v>316991.57803822443</v>
      </c>
      <c r="W52" s="50">
        <f t="shared" si="65"/>
        <v>308634.52734448941</v>
      </c>
      <c r="X52" s="50">
        <f t="shared" si="65"/>
        <v>329798.03779096866</v>
      </c>
      <c r="Y52" s="50">
        <f t="shared" si="65"/>
        <v>351684.63484436931</v>
      </c>
      <c r="Z52" s="50">
        <f t="shared" si="65"/>
        <v>327525.4294941909</v>
      </c>
      <c r="AA52" s="50">
        <f t="shared" si="65"/>
        <v>318167.56008007121</v>
      </c>
      <c r="AB52" s="50">
        <f t="shared" si="65"/>
        <v>373210.5479739235</v>
      </c>
      <c r="AC52" s="50">
        <f t="shared" si="65"/>
        <v>347572.60598267143</v>
      </c>
      <c r="AD52" s="50">
        <f t="shared" si="65"/>
        <v>371406.1561071974</v>
      </c>
      <c r="AE52" s="50">
        <f t="shared" si="65"/>
        <v>378834.27922934142</v>
      </c>
      <c r="AF52" s="50">
        <f t="shared" si="65"/>
        <v>387289.17155214166</v>
      </c>
      <c r="AG52" s="50">
        <f t="shared" si="65"/>
        <v>432657.33164824964</v>
      </c>
      <c r="AH52" s="50">
        <f t="shared" si="65"/>
        <v>422123.06618203147</v>
      </c>
      <c r="AI52" s="50">
        <f t="shared" si="65"/>
        <v>410994.36716450518</v>
      </c>
      <c r="AJ52" s="50">
        <f t="shared" si="65"/>
        <v>439176.83805578545</v>
      </c>
      <c r="AK52" s="50">
        <f t="shared" si="65"/>
        <v>447960.37481690128</v>
      </c>
      <c r="AL52" s="50">
        <f t="shared" si="65"/>
        <v>456919.58231323928</v>
      </c>
      <c r="AM52" s="50">
        <f t="shared" si="65"/>
        <v>423689.06723591278</v>
      </c>
      <c r="AN52" s="50">
        <f t="shared" si="65"/>
        <v>496987.27586772566</v>
      </c>
      <c r="AO52" s="50"/>
      <c r="AP52" s="42"/>
      <c r="AQ52" s="42"/>
    </row>
    <row r="53" spans="1:43" x14ac:dyDescent="0.3">
      <c r="A53" s="43" t="s">
        <v>22</v>
      </c>
      <c r="E53" s="50"/>
      <c r="F53" s="50"/>
      <c r="G53" s="50"/>
      <c r="H53" s="50">
        <f>H29*H$14*H$8</f>
        <v>119600</v>
      </c>
      <c r="I53" s="50">
        <f t="shared" ref="I53:J53" si="66">I29*I$14*I$8</f>
        <v>111384</v>
      </c>
      <c r="J53" s="50">
        <f t="shared" si="66"/>
        <v>119021.75999999999</v>
      </c>
      <c r="K53" s="50">
        <f t="shared" ref="K53:AN53" si="67">K29*K$14*K$8</f>
        <v>121402.1952</v>
      </c>
      <c r="L53" s="50">
        <f t="shared" si="67"/>
        <v>118201.591872</v>
      </c>
      <c r="M53" s="50">
        <f t="shared" si="67"/>
        <v>132048.06406272002</v>
      </c>
      <c r="N53" s="50">
        <f t="shared" si="67"/>
        <v>122976.9361836288</v>
      </c>
      <c r="O53" s="50">
        <f t="shared" si="67"/>
        <v>119463.30943552512</v>
      </c>
      <c r="P53" s="50">
        <f t="shared" si="67"/>
        <v>140130.46196787097</v>
      </c>
      <c r="Q53" s="50">
        <f t="shared" si="67"/>
        <v>136718.58985039237</v>
      </c>
      <c r="R53" s="50">
        <f t="shared" si="67"/>
        <v>133114.19066342749</v>
      </c>
      <c r="S53" s="50">
        <f t="shared" si="67"/>
        <v>142242.02088034822</v>
      </c>
      <c r="T53" s="50">
        <f t="shared" si="67"/>
        <v>152341.20436285294</v>
      </c>
      <c r="U53" s="50">
        <f t="shared" si="67"/>
        <v>155388.02845011</v>
      </c>
      <c r="V53" s="50">
        <f t="shared" si="67"/>
        <v>158495.78901911221</v>
      </c>
      <c r="W53" s="50">
        <f t="shared" si="67"/>
        <v>154317.26367224471</v>
      </c>
      <c r="X53" s="50">
        <f t="shared" si="67"/>
        <v>164899.01889548433</v>
      </c>
      <c r="Y53" s="50">
        <f t="shared" si="67"/>
        <v>175842.31742218466</v>
      </c>
      <c r="Z53" s="50">
        <f t="shared" si="67"/>
        <v>163762.71474709545</v>
      </c>
      <c r="AA53" s="50">
        <f t="shared" si="67"/>
        <v>159083.78004003561</v>
      </c>
      <c r="AB53" s="50">
        <f t="shared" si="67"/>
        <v>186605.27398696175</v>
      </c>
      <c r="AC53" s="50">
        <f t="shared" si="67"/>
        <v>173786.30299133572</v>
      </c>
      <c r="AD53" s="50">
        <f t="shared" si="67"/>
        <v>185703.0780535987</v>
      </c>
      <c r="AE53" s="50">
        <f t="shared" si="67"/>
        <v>189417.13961467071</v>
      </c>
      <c r="AF53" s="50">
        <f t="shared" si="67"/>
        <v>193644.58577607083</v>
      </c>
      <c r="AG53" s="50">
        <f t="shared" si="67"/>
        <v>216328.66582412482</v>
      </c>
      <c r="AH53" s="50">
        <f t="shared" si="67"/>
        <v>211061.53309101574</v>
      </c>
      <c r="AI53" s="50">
        <f t="shared" si="67"/>
        <v>205497.18358225259</v>
      </c>
      <c r="AJ53" s="50">
        <f t="shared" si="67"/>
        <v>219588.41902789273</v>
      </c>
      <c r="AK53" s="50">
        <f t="shared" si="67"/>
        <v>223980.18740845064</v>
      </c>
      <c r="AL53" s="50">
        <f t="shared" si="67"/>
        <v>228459.79115661964</v>
      </c>
      <c r="AM53" s="50">
        <f t="shared" si="67"/>
        <v>211844.53361795639</v>
      </c>
      <c r="AN53" s="50">
        <f t="shared" si="67"/>
        <v>248493.63793386283</v>
      </c>
      <c r="AO53" s="50"/>
      <c r="AP53" s="42"/>
      <c r="AQ53" s="42"/>
    </row>
    <row r="54" spans="1:43" x14ac:dyDescent="0.3">
      <c r="A54" s="43" t="s">
        <v>23</v>
      </c>
      <c r="E54" s="50"/>
      <c r="F54" s="50"/>
      <c r="G54" s="50"/>
      <c r="H54" s="50">
        <f>H30*H$14*H$8</f>
        <v>598000</v>
      </c>
      <c r="I54" s="50">
        <f t="shared" ref="I54:J54" si="68">I30*I$14*I$8</f>
        <v>556920</v>
      </c>
      <c r="J54" s="50">
        <f t="shared" si="68"/>
        <v>595108.80000000005</v>
      </c>
      <c r="K54" s="50">
        <f t="shared" ref="K54:AN54" si="69">K30*K$14*K$8</f>
        <v>607010.97600000002</v>
      </c>
      <c r="L54" s="50">
        <f t="shared" si="69"/>
        <v>591007.95935999998</v>
      </c>
      <c r="M54" s="50">
        <f t="shared" si="69"/>
        <v>660240.32031360001</v>
      </c>
      <c r="N54" s="50">
        <f t="shared" si="69"/>
        <v>614884.68091814395</v>
      </c>
      <c r="O54" s="50">
        <f t="shared" si="69"/>
        <v>597316.54717762559</v>
      </c>
      <c r="P54" s="50">
        <f t="shared" si="69"/>
        <v>700652.30983935483</v>
      </c>
      <c r="Q54" s="50">
        <f t="shared" si="69"/>
        <v>683592.94925196189</v>
      </c>
      <c r="R54" s="50">
        <f t="shared" si="69"/>
        <v>665570.95331713744</v>
      </c>
      <c r="S54" s="50">
        <f t="shared" si="69"/>
        <v>711210.10440174106</v>
      </c>
      <c r="T54" s="50">
        <f t="shared" si="69"/>
        <v>761706.02181426471</v>
      </c>
      <c r="U54" s="50">
        <f t="shared" si="69"/>
        <v>776940.14225054998</v>
      </c>
      <c r="V54" s="50">
        <f t="shared" si="69"/>
        <v>792478.9450955611</v>
      </c>
      <c r="W54" s="50">
        <f t="shared" si="69"/>
        <v>771586.31836122356</v>
      </c>
      <c r="X54" s="50">
        <f t="shared" si="69"/>
        <v>824495.0944774216</v>
      </c>
      <c r="Y54" s="50">
        <f t="shared" si="69"/>
        <v>879211.58711092314</v>
      </c>
      <c r="Z54" s="50">
        <f t="shared" si="69"/>
        <v>818813.57373547717</v>
      </c>
      <c r="AA54" s="50">
        <f t="shared" si="69"/>
        <v>795418.90020017803</v>
      </c>
      <c r="AB54" s="50">
        <f t="shared" si="69"/>
        <v>933026.3699348087</v>
      </c>
      <c r="AC54" s="50">
        <f t="shared" si="69"/>
        <v>868931.51495667838</v>
      </c>
      <c r="AD54" s="50">
        <f t="shared" si="69"/>
        <v>928515.39026799356</v>
      </c>
      <c r="AE54" s="50">
        <f t="shared" si="69"/>
        <v>947085.69807335339</v>
      </c>
      <c r="AF54" s="50">
        <f t="shared" si="69"/>
        <v>968222.92888035416</v>
      </c>
      <c r="AG54" s="50">
        <f t="shared" si="69"/>
        <v>1081643.3291206243</v>
      </c>
      <c r="AH54" s="50">
        <f t="shared" si="69"/>
        <v>1055307.6654550787</v>
      </c>
      <c r="AI54" s="50">
        <f t="shared" si="69"/>
        <v>1027485.9179112628</v>
      </c>
      <c r="AJ54" s="50">
        <f t="shared" si="69"/>
        <v>1097942.0951394639</v>
      </c>
      <c r="AK54" s="50">
        <f t="shared" si="69"/>
        <v>1119900.9370422531</v>
      </c>
      <c r="AL54" s="50">
        <f t="shared" si="69"/>
        <v>1142298.9557830982</v>
      </c>
      <c r="AM54" s="50">
        <f t="shared" si="69"/>
        <v>1059222.6680897819</v>
      </c>
      <c r="AN54" s="50">
        <f t="shared" si="69"/>
        <v>1242468.1896693141</v>
      </c>
      <c r="AO54" s="50"/>
      <c r="AP54" s="42"/>
      <c r="AQ54" s="42"/>
    </row>
    <row r="55" spans="1:43" s="47" customFormat="1" ht="15" thickBot="1" x14ac:dyDescent="0.35">
      <c r="A55" s="47" t="s">
        <v>59</v>
      </c>
      <c r="E55" s="52"/>
      <c r="F55" s="52"/>
      <c r="G55" s="52"/>
      <c r="H55" s="52">
        <f>SUM(H52:H54)</f>
        <v>956800</v>
      </c>
      <c r="I55" s="52">
        <f t="shared" ref="I55:AN55" si="70">SUM(I52:I54)</f>
        <v>891072</v>
      </c>
      <c r="J55" s="52">
        <f t="shared" si="70"/>
        <v>952174.08000000007</v>
      </c>
      <c r="K55" s="52">
        <f t="shared" si="70"/>
        <v>971217.56160000002</v>
      </c>
      <c r="L55" s="52">
        <f t="shared" si="70"/>
        <v>945612.73497599992</v>
      </c>
      <c r="M55" s="52">
        <f t="shared" si="70"/>
        <v>1056384.5125017599</v>
      </c>
      <c r="N55" s="52">
        <f t="shared" si="70"/>
        <v>983815.48946903041</v>
      </c>
      <c r="O55" s="52">
        <f t="shared" si="70"/>
        <v>955706.47548420099</v>
      </c>
      <c r="P55" s="52">
        <f t="shared" si="70"/>
        <v>1121043.6957429678</v>
      </c>
      <c r="Q55" s="52">
        <f t="shared" si="70"/>
        <v>1093748.7188031389</v>
      </c>
      <c r="R55" s="52">
        <f t="shared" si="70"/>
        <v>1064913.5253074199</v>
      </c>
      <c r="S55" s="52">
        <f t="shared" si="70"/>
        <v>1137936.1670427858</v>
      </c>
      <c r="T55" s="52">
        <f t="shared" si="70"/>
        <v>1218729.6349028235</v>
      </c>
      <c r="U55" s="52">
        <f t="shared" si="70"/>
        <v>1243104.22760088</v>
      </c>
      <c r="V55" s="52">
        <f t="shared" si="70"/>
        <v>1267966.3121528977</v>
      </c>
      <c r="W55" s="52">
        <f t="shared" si="70"/>
        <v>1234538.1093779576</v>
      </c>
      <c r="X55" s="52">
        <f t="shared" si="70"/>
        <v>1319192.1511638747</v>
      </c>
      <c r="Y55" s="52">
        <f t="shared" si="70"/>
        <v>1406738.539377477</v>
      </c>
      <c r="Z55" s="52">
        <f t="shared" si="70"/>
        <v>1310101.7179767634</v>
      </c>
      <c r="AA55" s="52">
        <f t="shared" si="70"/>
        <v>1272670.2403202849</v>
      </c>
      <c r="AB55" s="52">
        <f t="shared" si="70"/>
        <v>1492842.191895694</v>
      </c>
      <c r="AC55" s="52">
        <f t="shared" si="70"/>
        <v>1390290.4239306855</v>
      </c>
      <c r="AD55" s="52">
        <f t="shared" si="70"/>
        <v>1485624.6244287896</v>
      </c>
      <c r="AE55" s="52">
        <f t="shared" si="70"/>
        <v>1515337.1169173655</v>
      </c>
      <c r="AF55" s="52">
        <f t="shared" si="70"/>
        <v>1549156.6862085667</v>
      </c>
      <c r="AG55" s="52">
        <f t="shared" si="70"/>
        <v>1730629.3265929988</v>
      </c>
      <c r="AH55" s="52">
        <f t="shared" si="70"/>
        <v>1688492.2647281259</v>
      </c>
      <c r="AI55" s="52">
        <f t="shared" si="70"/>
        <v>1643977.4686580207</v>
      </c>
      <c r="AJ55" s="52">
        <f t="shared" si="70"/>
        <v>1756707.3522231421</v>
      </c>
      <c r="AK55" s="52">
        <f t="shared" si="70"/>
        <v>1791841.4992676051</v>
      </c>
      <c r="AL55" s="52">
        <f t="shared" si="70"/>
        <v>1827678.3292529571</v>
      </c>
      <c r="AM55" s="52">
        <f t="shared" si="70"/>
        <v>1694756.2689436511</v>
      </c>
      <c r="AN55" s="52">
        <f t="shared" si="70"/>
        <v>1987949.1034709024</v>
      </c>
      <c r="AO55" s="52"/>
    </row>
    <row r="56" spans="1:43" x14ac:dyDescent="0.3"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42"/>
      <c r="AQ56" s="42"/>
    </row>
    <row r="57" spans="1:43" x14ac:dyDescent="0.3">
      <c r="A57" s="6" t="s">
        <v>15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42"/>
      <c r="AQ57" s="42"/>
    </row>
    <row r="58" spans="1:43" x14ac:dyDescent="0.3">
      <c r="A58" s="1" t="s">
        <v>12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42"/>
      <c r="AQ58" s="42"/>
    </row>
    <row r="59" spans="1:43" x14ac:dyDescent="0.3">
      <c r="A59" s="43" t="s">
        <v>21</v>
      </c>
      <c r="E59" s="50"/>
      <c r="F59" s="50"/>
      <c r="G59" s="50"/>
      <c r="H59" s="50">
        <f>H34*H$17*H$9</f>
        <v>104000</v>
      </c>
      <c r="I59" s="50">
        <f>I34*I$17*I$9</f>
        <v>135200</v>
      </c>
      <c r="J59" s="50">
        <f t="shared" ref="J59:AN59" si="71">J34*J$17*J$9</f>
        <v>112486.40000000001</v>
      </c>
      <c r="K59" s="50">
        <f t="shared" si="71"/>
        <v>131609.08800000002</v>
      </c>
      <c r="L59" s="50">
        <f t="shared" si="71"/>
        <v>136873.45152000003</v>
      </c>
      <c r="M59" s="50">
        <f t="shared" si="71"/>
        <v>126531.90184960002</v>
      </c>
      <c r="N59" s="50">
        <f t="shared" si="71"/>
        <v>164491.47240448004</v>
      </c>
      <c r="O59" s="50">
        <f t="shared" si="71"/>
        <v>136856.90504052737</v>
      </c>
      <c r="P59" s="50">
        <f t="shared" si="71"/>
        <v>142331.18124214848</v>
      </c>
      <c r="Q59" s="50">
        <f t="shared" si="71"/>
        <v>148024.42849183443</v>
      </c>
      <c r="R59" s="50">
        <f t="shared" si="71"/>
        <v>192431.7570393848</v>
      </c>
      <c r="S59" s="50">
        <f t="shared" si="71"/>
        <v>160103.22185676816</v>
      </c>
      <c r="T59" s="50">
        <f t="shared" si="71"/>
        <v>196686.80805103967</v>
      </c>
      <c r="U59" s="50">
        <f t="shared" si="71"/>
        <v>204554.28037308127</v>
      </c>
      <c r="V59" s="50">
        <f t="shared" si="71"/>
        <v>189099.06807822626</v>
      </c>
      <c r="W59" s="50">
        <f t="shared" si="71"/>
        <v>245828.78850169416</v>
      </c>
      <c r="X59" s="50">
        <f t="shared" si="71"/>
        <v>204529.55203340956</v>
      </c>
      <c r="Y59" s="50">
        <f t="shared" si="71"/>
        <v>212710.73411474595</v>
      </c>
      <c r="Z59" s="50">
        <f t="shared" si="71"/>
        <v>276523.95434916974</v>
      </c>
      <c r="AA59" s="50">
        <f t="shared" si="71"/>
        <v>230067.93001850921</v>
      </c>
      <c r="AB59" s="50">
        <f t="shared" si="71"/>
        <v>239270.6472192496</v>
      </c>
      <c r="AC59" s="50">
        <f t="shared" si="71"/>
        <v>279946.65724652202</v>
      </c>
      <c r="AD59" s="50">
        <f t="shared" si="71"/>
        <v>291144.52353638288</v>
      </c>
      <c r="AE59" s="50">
        <f t="shared" si="71"/>
        <v>269146.93731363403</v>
      </c>
      <c r="AF59" s="50">
        <f t="shared" si="71"/>
        <v>367385.56943311053</v>
      </c>
      <c r="AG59" s="50">
        <f t="shared" si="71"/>
        <v>305664.79376834794</v>
      </c>
      <c r="AH59" s="50">
        <f t="shared" si="71"/>
        <v>317891.38551908184</v>
      </c>
      <c r="AI59" s="50">
        <f t="shared" si="71"/>
        <v>413258.80117480643</v>
      </c>
      <c r="AJ59" s="50">
        <f t="shared" si="71"/>
        <v>343831.32257743896</v>
      </c>
      <c r="AK59" s="50">
        <f t="shared" si="71"/>
        <v>396900</v>
      </c>
      <c r="AL59" s="50">
        <f t="shared" si="71"/>
        <v>396900</v>
      </c>
      <c r="AM59" s="50">
        <f t="shared" si="71"/>
        <v>352800</v>
      </c>
      <c r="AN59" s="50">
        <f t="shared" si="71"/>
        <v>352800</v>
      </c>
      <c r="AO59" s="50"/>
      <c r="AP59" s="42"/>
      <c r="AQ59" s="42"/>
    </row>
    <row r="60" spans="1:43" x14ac:dyDescent="0.3">
      <c r="A60" s="43" t="s">
        <v>22</v>
      </c>
      <c r="E60" s="50"/>
      <c r="F60" s="50"/>
      <c r="G60" s="50"/>
      <c r="H60" s="50">
        <f t="shared" ref="H60:I61" si="72">H35*H$17*H$9</f>
        <v>41600</v>
      </c>
      <c r="I60" s="50">
        <f t="shared" si="72"/>
        <v>54080</v>
      </c>
      <c r="J60" s="50">
        <f t="shared" ref="J60:AN60" si="73">J35*J$17*J$9</f>
        <v>44994.559999999998</v>
      </c>
      <c r="K60" s="50">
        <f t="shared" si="73"/>
        <v>52643.635200000012</v>
      </c>
      <c r="L60" s="50">
        <f t="shared" si="73"/>
        <v>54749.380608000007</v>
      </c>
      <c r="M60" s="50">
        <f t="shared" si="73"/>
        <v>50612.760739840007</v>
      </c>
      <c r="N60" s="50">
        <f t="shared" si="73"/>
        <v>65796.588961792018</v>
      </c>
      <c r="O60" s="50">
        <f t="shared" si="73"/>
        <v>54742.762016210952</v>
      </c>
      <c r="P60" s="50">
        <f t="shared" si="73"/>
        <v>56932.472496859395</v>
      </c>
      <c r="Q60" s="50">
        <f t="shared" si="73"/>
        <v>59209.771396733777</v>
      </c>
      <c r="R60" s="50">
        <f t="shared" si="73"/>
        <v>76972.702815753917</v>
      </c>
      <c r="S60" s="50">
        <f t="shared" si="73"/>
        <v>64041.288742707264</v>
      </c>
      <c r="T60" s="50">
        <f t="shared" si="73"/>
        <v>78674.723220415879</v>
      </c>
      <c r="U60" s="50">
        <f t="shared" si="73"/>
        <v>81821.71214923251</v>
      </c>
      <c r="V60" s="50">
        <f t="shared" si="73"/>
        <v>75639.627231290506</v>
      </c>
      <c r="W60" s="50">
        <f t="shared" si="73"/>
        <v>98331.515400677672</v>
      </c>
      <c r="X60" s="50">
        <f t="shared" si="73"/>
        <v>81811.820813363825</v>
      </c>
      <c r="Y60" s="50">
        <f t="shared" si="73"/>
        <v>85084.293645898375</v>
      </c>
      <c r="Z60" s="50">
        <f t="shared" si="73"/>
        <v>110609.5817396679</v>
      </c>
      <c r="AA60" s="50">
        <f t="shared" si="73"/>
        <v>92027.172007403686</v>
      </c>
      <c r="AB60" s="50">
        <f t="shared" si="73"/>
        <v>95708.258887699834</v>
      </c>
      <c r="AC60" s="50">
        <f t="shared" si="73"/>
        <v>111978.6628986088</v>
      </c>
      <c r="AD60" s="50">
        <f t="shared" si="73"/>
        <v>116457.80941455316</v>
      </c>
      <c r="AE60" s="50">
        <f t="shared" si="73"/>
        <v>107658.77492545362</v>
      </c>
      <c r="AF60" s="50">
        <f t="shared" si="73"/>
        <v>146954.2277732442</v>
      </c>
      <c r="AG60" s="50">
        <f t="shared" si="73"/>
        <v>122265.91750733918</v>
      </c>
      <c r="AH60" s="50">
        <f t="shared" si="73"/>
        <v>127156.55420763274</v>
      </c>
      <c r="AI60" s="50">
        <f t="shared" si="73"/>
        <v>165303.52046992257</v>
      </c>
      <c r="AJ60" s="50">
        <f t="shared" si="73"/>
        <v>137532.52903097559</v>
      </c>
      <c r="AK60" s="50">
        <f t="shared" si="73"/>
        <v>158760</v>
      </c>
      <c r="AL60" s="50">
        <f t="shared" si="73"/>
        <v>158760</v>
      </c>
      <c r="AM60" s="50">
        <f t="shared" si="73"/>
        <v>141120</v>
      </c>
      <c r="AN60" s="50">
        <f t="shared" si="73"/>
        <v>141120</v>
      </c>
      <c r="AO60" s="50"/>
      <c r="AP60" s="42"/>
      <c r="AQ60" s="42"/>
    </row>
    <row r="61" spans="1:43" x14ac:dyDescent="0.3">
      <c r="A61" s="43" t="s">
        <v>23</v>
      </c>
      <c r="E61" s="50"/>
      <c r="F61" s="50"/>
      <c r="G61" s="50"/>
      <c r="H61" s="50">
        <f t="shared" si="72"/>
        <v>208000</v>
      </c>
      <c r="I61" s="50">
        <f t="shared" si="72"/>
        <v>270400</v>
      </c>
      <c r="J61" s="50">
        <f t="shared" ref="J61:AN61" si="74">J36*J$17*J$9</f>
        <v>224972.80000000002</v>
      </c>
      <c r="K61" s="50">
        <f t="shared" si="74"/>
        <v>263218.17600000004</v>
      </c>
      <c r="L61" s="50">
        <f t="shared" si="74"/>
        <v>273746.90304000006</v>
      </c>
      <c r="M61" s="50">
        <f t="shared" si="74"/>
        <v>253063.80369920004</v>
      </c>
      <c r="N61" s="50">
        <f t="shared" si="74"/>
        <v>328982.94480896008</v>
      </c>
      <c r="O61" s="50">
        <f t="shared" si="74"/>
        <v>273713.81008105475</v>
      </c>
      <c r="P61" s="50">
        <f t="shared" si="74"/>
        <v>284662.36248429696</v>
      </c>
      <c r="Q61" s="50">
        <f t="shared" si="74"/>
        <v>296048.85698366887</v>
      </c>
      <c r="R61" s="50">
        <f t="shared" si="74"/>
        <v>384863.5140787696</v>
      </c>
      <c r="S61" s="50">
        <f t="shared" si="74"/>
        <v>320206.44371353631</v>
      </c>
      <c r="T61" s="50">
        <f t="shared" si="74"/>
        <v>393373.61610207934</v>
      </c>
      <c r="U61" s="50">
        <f t="shared" si="74"/>
        <v>409108.56074616255</v>
      </c>
      <c r="V61" s="50">
        <f t="shared" si="74"/>
        <v>378198.13615645253</v>
      </c>
      <c r="W61" s="50">
        <f t="shared" si="74"/>
        <v>491657.57700338832</v>
      </c>
      <c r="X61" s="50">
        <f t="shared" si="74"/>
        <v>409059.10406681913</v>
      </c>
      <c r="Y61" s="50">
        <f t="shared" si="74"/>
        <v>425421.4682294919</v>
      </c>
      <c r="Z61" s="50">
        <f t="shared" si="74"/>
        <v>553047.90869833948</v>
      </c>
      <c r="AA61" s="50">
        <f t="shared" si="74"/>
        <v>460135.86003701843</v>
      </c>
      <c r="AB61" s="50">
        <f t="shared" si="74"/>
        <v>478541.2944384992</v>
      </c>
      <c r="AC61" s="50">
        <f t="shared" si="74"/>
        <v>559893.31449304405</v>
      </c>
      <c r="AD61" s="50">
        <f t="shared" si="74"/>
        <v>582289.04707276577</v>
      </c>
      <c r="AE61" s="50">
        <f t="shared" si="74"/>
        <v>538293.87462726806</v>
      </c>
      <c r="AF61" s="50">
        <f t="shared" si="74"/>
        <v>734771.13886622107</v>
      </c>
      <c r="AG61" s="50">
        <f t="shared" si="74"/>
        <v>611329.58753669588</v>
      </c>
      <c r="AH61" s="50">
        <f t="shared" si="74"/>
        <v>635782.77103816369</v>
      </c>
      <c r="AI61" s="50">
        <f t="shared" si="74"/>
        <v>826517.60234961286</v>
      </c>
      <c r="AJ61" s="50">
        <f t="shared" si="74"/>
        <v>687662.64515487792</v>
      </c>
      <c r="AK61" s="50">
        <f t="shared" si="74"/>
        <v>793800</v>
      </c>
      <c r="AL61" s="50">
        <f t="shared" si="74"/>
        <v>793800</v>
      </c>
      <c r="AM61" s="50">
        <f t="shared" si="74"/>
        <v>705600</v>
      </c>
      <c r="AN61" s="50">
        <f t="shared" si="74"/>
        <v>705600</v>
      </c>
      <c r="AO61" s="50"/>
      <c r="AP61" s="42"/>
      <c r="AQ61" s="42"/>
    </row>
    <row r="62" spans="1:43" s="47" customFormat="1" ht="15" thickBot="1" x14ac:dyDescent="0.35">
      <c r="A62" s="47" t="s">
        <v>59</v>
      </c>
      <c r="H62" s="55">
        <f>SUM(H59:H61)</f>
        <v>353600</v>
      </c>
      <c r="I62" s="55">
        <f t="shared" ref="I62:AN62" si="75">SUM(I59:I61)</f>
        <v>459680</v>
      </c>
      <c r="J62" s="55">
        <f t="shared" si="75"/>
        <v>382453.76000000001</v>
      </c>
      <c r="K62" s="55">
        <f t="shared" si="75"/>
        <v>447470.8992000001</v>
      </c>
      <c r="L62" s="55">
        <f t="shared" si="75"/>
        <v>465369.7351680001</v>
      </c>
      <c r="M62" s="55">
        <f t="shared" si="75"/>
        <v>430208.46628864005</v>
      </c>
      <c r="N62" s="55">
        <f t="shared" si="75"/>
        <v>559271.00617523212</v>
      </c>
      <c r="O62" s="55">
        <f t="shared" si="75"/>
        <v>465313.47713779309</v>
      </c>
      <c r="P62" s="55">
        <f t="shared" si="75"/>
        <v>483926.01622330485</v>
      </c>
      <c r="Q62" s="55">
        <f t="shared" si="75"/>
        <v>503283.05687223707</v>
      </c>
      <c r="R62" s="55">
        <f t="shared" si="75"/>
        <v>654267.97393390839</v>
      </c>
      <c r="S62" s="55">
        <f t="shared" si="75"/>
        <v>544350.95431301172</v>
      </c>
      <c r="T62" s="55">
        <f t="shared" si="75"/>
        <v>668735.14737353497</v>
      </c>
      <c r="U62" s="55">
        <f t="shared" si="75"/>
        <v>695484.55326847639</v>
      </c>
      <c r="V62" s="55">
        <f t="shared" si="75"/>
        <v>642936.83146596933</v>
      </c>
      <c r="W62" s="55">
        <f t="shared" si="75"/>
        <v>835817.88090576022</v>
      </c>
      <c r="X62" s="55">
        <f t="shared" si="75"/>
        <v>695400.47691359255</v>
      </c>
      <c r="Y62" s="55">
        <f t="shared" si="75"/>
        <v>723216.49599013617</v>
      </c>
      <c r="Z62" s="55">
        <f t="shared" si="75"/>
        <v>940181.44478717714</v>
      </c>
      <c r="AA62" s="55">
        <f t="shared" si="75"/>
        <v>782230.96206293139</v>
      </c>
      <c r="AB62" s="55">
        <f t="shared" si="75"/>
        <v>813520.20054544858</v>
      </c>
      <c r="AC62" s="55">
        <f t="shared" si="75"/>
        <v>951818.6346381749</v>
      </c>
      <c r="AD62" s="55">
        <f t="shared" si="75"/>
        <v>989891.38002370181</v>
      </c>
      <c r="AE62" s="55">
        <f t="shared" si="75"/>
        <v>915099.58686635573</v>
      </c>
      <c r="AF62" s="55">
        <f t="shared" si="75"/>
        <v>1249110.9360725759</v>
      </c>
      <c r="AG62" s="55">
        <f t="shared" si="75"/>
        <v>1039260.298812383</v>
      </c>
      <c r="AH62" s="55">
        <f t="shared" si="75"/>
        <v>1080830.7107648782</v>
      </c>
      <c r="AI62" s="55">
        <f t="shared" si="75"/>
        <v>1405079.9239943419</v>
      </c>
      <c r="AJ62" s="55">
        <f t="shared" si="75"/>
        <v>1169026.4967632925</v>
      </c>
      <c r="AK62" s="55">
        <f t="shared" si="75"/>
        <v>1349460</v>
      </c>
      <c r="AL62" s="55">
        <f t="shared" si="75"/>
        <v>1349460</v>
      </c>
      <c r="AM62" s="55">
        <f t="shared" si="75"/>
        <v>1199520</v>
      </c>
      <c r="AN62" s="55">
        <f t="shared" si="75"/>
        <v>1199520</v>
      </c>
    </row>
    <row r="63" spans="1:43" x14ac:dyDescent="0.3">
      <c r="A63" s="45" t="s">
        <v>13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42"/>
      <c r="AQ63" s="42"/>
    </row>
    <row r="64" spans="1:43" x14ac:dyDescent="0.3">
      <c r="A64" s="43" t="s">
        <v>21</v>
      </c>
      <c r="E64" s="50"/>
      <c r="F64" s="50"/>
      <c r="G64" s="50"/>
      <c r="H64" s="50">
        <f>H39*H$18*H$9</f>
        <v>156000</v>
      </c>
      <c r="I64" s="50">
        <f t="shared" ref="I64:K64" si="76">I39*I$18*I$9</f>
        <v>202800.00000000003</v>
      </c>
      <c r="J64" s="50">
        <f t="shared" si="76"/>
        <v>168729.60000000003</v>
      </c>
      <c r="K64" s="50">
        <f t="shared" si="76"/>
        <v>197413.63200000007</v>
      </c>
      <c r="L64" s="50">
        <f t="shared" ref="L64:AN64" si="77">L39*L$18*L$9</f>
        <v>205310.17728000006</v>
      </c>
      <c r="M64" s="50">
        <f t="shared" si="77"/>
        <v>189797.85277440006</v>
      </c>
      <c r="N64" s="50">
        <f t="shared" si="77"/>
        <v>246737.20860672006</v>
      </c>
      <c r="O64" s="50">
        <f t="shared" si="77"/>
        <v>205285.35756079108</v>
      </c>
      <c r="P64" s="50">
        <f t="shared" si="77"/>
        <v>213496.77186322273</v>
      </c>
      <c r="Q64" s="50">
        <f t="shared" si="77"/>
        <v>222036.64273775165</v>
      </c>
      <c r="R64" s="50">
        <f t="shared" si="77"/>
        <v>288647.63555907714</v>
      </c>
      <c r="S64" s="50">
        <f t="shared" si="77"/>
        <v>240154.83278515222</v>
      </c>
      <c r="T64" s="50">
        <f t="shared" si="77"/>
        <v>295030.21207655949</v>
      </c>
      <c r="U64" s="50">
        <f t="shared" si="77"/>
        <v>306831.42055962194</v>
      </c>
      <c r="V64" s="50">
        <f t="shared" si="77"/>
        <v>283648.60211733932</v>
      </c>
      <c r="W64" s="50">
        <f t="shared" si="77"/>
        <v>368743.18275254115</v>
      </c>
      <c r="X64" s="50">
        <f t="shared" si="77"/>
        <v>306794.32805011427</v>
      </c>
      <c r="Y64" s="50">
        <f t="shared" si="77"/>
        <v>319066.10117211886</v>
      </c>
      <c r="Z64" s="50">
        <f t="shared" si="77"/>
        <v>414785.93152375455</v>
      </c>
      <c r="AA64" s="50">
        <f t="shared" si="77"/>
        <v>345101.89502776379</v>
      </c>
      <c r="AB64" s="50">
        <f t="shared" si="77"/>
        <v>358905.97082887433</v>
      </c>
      <c r="AC64" s="50">
        <f t="shared" si="77"/>
        <v>419919.98586978304</v>
      </c>
      <c r="AD64" s="50">
        <f t="shared" si="77"/>
        <v>436716.78530457435</v>
      </c>
      <c r="AE64" s="50">
        <f t="shared" si="77"/>
        <v>403720.40597045101</v>
      </c>
      <c r="AF64" s="50">
        <f t="shared" si="77"/>
        <v>551078.35414966568</v>
      </c>
      <c r="AG64" s="50">
        <f t="shared" si="77"/>
        <v>458497.19065252185</v>
      </c>
      <c r="AH64" s="50">
        <f t="shared" si="77"/>
        <v>476837.07827862271</v>
      </c>
      <c r="AI64" s="50">
        <f t="shared" si="77"/>
        <v>619888.20176220953</v>
      </c>
      <c r="AJ64" s="50">
        <f t="shared" si="77"/>
        <v>515746.98386615835</v>
      </c>
      <c r="AK64" s="50">
        <f t="shared" si="77"/>
        <v>580466.25</v>
      </c>
      <c r="AL64" s="50">
        <f t="shared" si="77"/>
        <v>580466.25</v>
      </c>
      <c r="AM64" s="50">
        <f t="shared" si="77"/>
        <v>515970</v>
      </c>
      <c r="AN64" s="50">
        <f t="shared" si="77"/>
        <v>515970</v>
      </c>
      <c r="AO64" s="50"/>
      <c r="AP64" s="42"/>
      <c r="AQ64" s="42"/>
    </row>
    <row r="65" spans="1:43" x14ac:dyDescent="0.3">
      <c r="A65" s="43" t="s">
        <v>22</v>
      </c>
      <c r="E65" s="50"/>
      <c r="F65" s="50"/>
      <c r="G65" s="50"/>
      <c r="H65" s="50">
        <f t="shared" ref="H65:J66" si="78">H40*H$18*H$9</f>
        <v>60000</v>
      </c>
      <c r="I65" s="50">
        <f t="shared" si="78"/>
        <v>78000.000000000015</v>
      </c>
      <c r="J65" s="50">
        <f t="shared" si="78"/>
        <v>64896.000000000015</v>
      </c>
      <c r="K65" s="50">
        <f t="shared" ref="K65:AN65" si="79">K40*K$18*K$9</f>
        <v>75928.320000000036</v>
      </c>
      <c r="L65" s="50">
        <f t="shared" si="79"/>
        <v>78965.452800000028</v>
      </c>
      <c r="M65" s="50">
        <f t="shared" si="79"/>
        <v>72999.174144000019</v>
      </c>
      <c r="N65" s="50">
        <f t="shared" si="79"/>
        <v>94898.92638720003</v>
      </c>
      <c r="O65" s="50">
        <f t="shared" si="79"/>
        <v>78955.906754150419</v>
      </c>
      <c r="P65" s="50">
        <f t="shared" si="79"/>
        <v>82114.143024316436</v>
      </c>
      <c r="Q65" s="50">
        <f t="shared" si="79"/>
        <v>85398.708745289099</v>
      </c>
      <c r="R65" s="50">
        <f t="shared" si="79"/>
        <v>111018.32136887584</v>
      </c>
      <c r="S65" s="50">
        <f t="shared" si="79"/>
        <v>92367.243378904706</v>
      </c>
      <c r="T65" s="50">
        <f t="shared" si="79"/>
        <v>113473.15849098442</v>
      </c>
      <c r="U65" s="50">
        <f t="shared" si="79"/>
        <v>118012.0848306238</v>
      </c>
      <c r="V65" s="50">
        <f t="shared" si="79"/>
        <v>109095.61619897667</v>
      </c>
      <c r="W65" s="50">
        <f t="shared" si="79"/>
        <v>141824.30105866969</v>
      </c>
      <c r="X65" s="50">
        <f t="shared" si="79"/>
        <v>117997.81848081318</v>
      </c>
      <c r="Y65" s="50">
        <f t="shared" si="79"/>
        <v>122717.73122004571</v>
      </c>
      <c r="Z65" s="50">
        <f t="shared" si="79"/>
        <v>159533.05058605943</v>
      </c>
      <c r="AA65" s="50">
        <f t="shared" si="79"/>
        <v>132731.49808760145</v>
      </c>
      <c r="AB65" s="50">
        <f t="shared" si="79"/>
        <v>138040.7580111055</v>
      </c>
      <c r="AC65" s="50">
        <f t="shared" si="79"/>
        <v>161507.68687299345</v>
      </c>
      <c r="AD65" s="50">
        <f t="shared" si="79"/>
        <v>167967.99434791319</v>
      </c>
      <c r="AE65" s="50">
        <f t="shared" si="79"/>
        <v>155277.07921940423</v>
      </c>
      <c r="AF65" s="50">
        <f t="shared" si="79"/>
        <v>211953.21313448681</v>
      </c>
      <c r="AG65" s="50">
        <f t="shared" si="79"/>
        <v>176345.07332789301</v>
      </c>
      <c r="AH65" s="50">
        <f t="shared" si="79"/>
        <v>183398.87626100873</v>
      </c>
      <c r="AI65" s="50">
        <f t="shared" si="79"/>
        <v>238418.53913931135</v>
      </c>
      <c r="AJ65" s="50">
        <f t="shared" si="79"/>
        <v>198364.22456390705</v>
      </c>
      <c r="AK65" s="50">
        <f t="shared" si="79"/>
        <v>223256.25</v>
      </c>
      <c r="AL65" s="50">
        <f t="shared" si="79"/>
        <v>223256.25</v>
      </c>
      <c r="AM65" s="50">
        <f t="shared" si="79"/>
        <v>198450</v>
      </c>
      <c r="AN65" s="50">
        <f t="shared" si="79"/>
        <v>198450</v>
      </c>
      <c r="AO65" s="50"/>
      <c r="AP65" s="42"/>
      <c r="AQ65" s="42"/>
    </row>
    <row r="66" spans="1:43" x14ac:dyDescent="0.3">
      <c r="A66" s="43" t="s">
        <v>23</v>
      </c>
      <c r="E66" s="50"/>
      <c r="F66" s="50"/>
      <c r="G66" s="50"/>
      <c r="H66" s="50">
        <f t="shared" si="78"/>
        <v>240000</v>
      </c>
      <c r="I66" s="50">
        <f t="shared" si="78"/>
        <v>312000.00000000006</v>
      </c>
      <c r="J66" s="50">
        <f t="shared" si="78"/>
        <v>259584.00000000006</v>
      </c>
      <c r="K66" s="50">
        <f t="shared" ref="K66:AN66" si="80">K41*K$18*K$9</f>
        <v>303713.28000000014</v>
      </c>
      <c r="L66" s="50">
        <f t="shared" si="80"/>
        <v>315861.81120000011</v>
      </c>
      <c r="M66" s="50">
        <f t="shared" si="80"/>
        <v>291996.69657600007</v>
      </c>
      <c r="N66" s="50">
        <f t="shared" si="80"/>
        <v>379595.70554880012</v>
      </c>
      <c r="O66" s="50">
        <f t="shared" si="80"/>
        <v>315823.62701660168</v>
      </c>
      <c r="P66" s="50">
        <f t="shared" si="80"/>
        <v>328456.57209726574</v>
      </c>
      <c r="Q66" s="50">
        <f t="shared" si="80"/>
        <v>341594.8349811564</v>
      </c>
      <c r="R66" s="50">
        <f t="shared" si="80"/>
        <v>444073.28547550336</v>
      </c>
      <c r="S66" s="50">
        <f t="shared" si="80"/>
        <v>369468.97351561883</v>
      </c>
      <c r="T66" s="50">
        <f t="shared" si="80"/>
        <v>453892.6339639377</v>
      </c>
      <c r="U66" s="50">
        <f t="shared" si="80"/>
        <v>472048.33932249522</v>
      </c>
      <c r="V66" s="50">
        <f t="shared" si="80"/>
        <v>436382.46479590668</v>
      </c>
      <c r="W66" s="50">
        <f t="shared" si="80"/>
        <v>567297.20423467876</v>
      </c>
      <c r="X66" s="50">
        <f t="shared" si="80"/>
        <v>471991.27392325271</v>
      </c>
      <c r="Y66" s="50">
        <f t="shared" si="80"/>
        <v>490870.92488018284</v>
      </c>
      <c r="Z66" s="50">
        <f t="shared" si="80"/>
        <v>638132.20234423771</v>
      </c>
      <c r="AA66" s="50">
        <f t="shared" si="80"/>
        <v>530925.99235040578</v>
      </c>
      <c r="AB66" s="50">
        <f t="shared" si="80"/>
        <v>552163.032044422</v>
      </c>
      <c r="AC66" s="50">
        <f t="shared" si="80"/>
        <v>646030.7474919738</v>
      </c>
      <c r="AD66" s="50">
        <f t="shared" si="80"/>
        <v>671871.97739165276</v>
      </c>
      <c r="AE66" s="50">
        <f t="shared" si="80"/>
        <v>621108.31687761692</v>
      </c>
      <c r="AF66" s="50">
        <f t="shared" si="80"/>
        <v>847812.85253794724</v>
      </c>
      <c r="AG66" s="50">
        <f t="shared" si="80"/>
        <v>705380.29331157205</v>
      </c>
      <c r="AH66" s="50">
        <f t="shared" si="80"/>
        <v>733595.50504403492</v>
      </c>
      <c r="AI66" s="50">
        <f t="shared" si="80"/>
        <v>953674.15655724541</v>
      </c>
      <c r="AJ66" s="50">
        <f t="shared" si="80"/>
        <v>793456.89825562818</v>
      </c>
      <c r="AK66" s="50">
        <f t="shared" si="80"/>
        <v>893025</v>
      </c>
      <c r="AL66" s="50">
        <f t="shared" si="80"/>
        <v>893025</v>
      </c>
      <c r="AM66" s="50">
        <f t="shared" si="80"/>
        <v>793800</v>
      </c>
      <c r="AN66" s="50">
        <f t="shared" si="80"/>
        <v>793800</v>
      </c>
      <c r="AO66" s="50"/>
      <c r="AP66" s="42"/>
      <c r="AQ66" s="42"/>
    </row>
    <row r="67" spans="1:43" s="47" customFormat="1" ht="15" thickBot="1" x14ac:dyDescent="0.35">
      <c r="A67" s="47" t="s">
        <v>59</v>
      </c>
      <c r="H67" s="55">
        <f>SUM(H64:H66)</f>
        <v>456000</v>
      </c>
      <c r="I67" s="55">
        <f t="shared" ref="I67:AN67" si="81">SUM(I64:I66)</f>
        <v>592800.00000000012</v>
      </c>
      <c r="J67" s="55">
        <f t="shared" si="81"/>
        <v>493209.60000000009</v>
      </c>
      <c r="K67" s="55">
        <f t="shared" si="81"/>
        <v>577055.23200000031</v>
      </c>
      <c r="L67" s="55">
        <f t="shared" si="81"/>
        <v>600137.44128000014</v>
      </c>
      <c r="M67" s="55">
        <f t="shared" si="81"/>
        <v>554793.72349440015</v>
      </c>
      <c r="N67" s="55">
        <f t="shared" si="81"/>
        <v>721231.84054272017</v>
      </c>
      <c r="O67" s="55">
        <f t="shared" si="81"/>
        <v>600064.89133154321</v>
      </c>
      <c r="P67" s="55">
        <f t="shared" si="81"/>
        <v>624067.48698480497</v>
      </c>
      <c r="Q67" s="55">
        <f t="shared" si="81"/>
        <v>649030.18646419712</v>
      </c>
      <c r="R67" s="55">
        <f t="shared" si="81"/>
        <v>843739.24240345636</v>
      </c>
      <c r="S67" s="55">
        <f t="shared" si="81"/>
        <v>701991.04967967572</v>
      </c>
      <c r="T67" s="55">
        <f t="shared" si="81"/>
        <v>862396.00453148154</v>
      </c>
      <c r="U67" s="55">
        <f t="shared" si="81"/>
        <v>896891.84471274097</v>
      </c>
      <c r="V67" s="55">
        <f t="shared" si="81"/>
        <v>829126.6831122227</v>
      </c>
      <c r="W67" s="55">
        <f t="shared" si="81"/>
        <v>1077864.6880458896</v>
      </c>
      <c r="X67" s="55">
        <f t="shared" si="81"/>
        <v>896783.4204541801</v>
      </c>
      <c r="Y67" s="55">
        <f t="shared" si="81"/>
        <v>932654.75727234734</v>
      </c>
      <c r="Z67" s="55">
        <f t="shared" si="81"/>
        <v>1212451.1844540518</v>
      </c>
      <c r="AA67" s="55">
        <f t="shared" si="81"/>
        <v>1008759.385465771</v>
      </c>
      <c r="AB67" s="55">
        <f t="shared" si="81"/>
        <v>1049109.7608844019</v>
      </c>
      <c r="AC67" s="55">
        <f t="shared" si="81"/>
        <v>1227458.4202347503</v>
      </c>
      <c r="AD67" s="55">
        <f t="shared" si="81"/>
        <v>1276556.7570441402</v>
      </c>
      <c r="AE67" s="55">
        <f t="shared" si="81"/>
        <v>1180105.8020674721</v>
      </c>
      <c r="AF67" s="55">
        <f t="shared" si="81"/>
        <v>1610844.4198220996</v>
      </c>
      <c r="AG67" s="55">
        <f t="shared" si="81"/>
        <v>1340222.5572919869</v>
      </c>
      <c r="AH67" s="55">
        <f t="shared" si="81"/>
        <v>1393831.4595836664</v>
      </c>
      <c r="AI67" s="55">
        <f t="shared" si="81"/>
        <v>1811980.8974587664</v>
      </c>
      <c r="AJ67" s="55">
        <f t="shared" si="81"/>
        <v>1507568.1066856936</v>
      </c>
      <c r="AK67" s="55">
        <f t="shared" si="81"/>
        <v>1696747.5</v>
      </c>
      <c r="AL67" s="55">
        <f t="shared" si="81"/>
        <v>1696747.5</v>
      </c>
      <c r="AM67" s="55">
        <f t="shared" si="81"/>
        <v>1508220</v>
      </c>
      <c r="AN67" s="55">
        <f t="shared" si="81"/>
        <v>1508220</v>
      </c>
    </row>
    <row r="68" spans="1:43" x14ac:dyDescent="0.3"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42"/>
      <c r="AQ68" s="42"/>
    </row>
    <row r="69" spans="1:43" x14ac:dyDescent="0.3">
      <c r="A69" s="108" t="s">
        <v>102</v>
      </c>
      <c r="B69" s="108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42"/>
      <c r="AQ69" s="42"/>
    </row>
    <row r="70" spans="1:43" x14ac:dyDescent="0.3">
      <c r="A70" s="43" t="s">
        <v>21</v>
      </c>
      <c r="E70" s="50"/>
      <c r="F70" s="50"/>
      <c r="G70" s="50"/>
      <c r="H70" s="50">
        <f>SUM(H47,H52,H59,H64)</f>
        <v>637200</v>
      </c>
      <c r="I70" s="50">
        <f t="shared" ref="I70:AN72" si="82">SUM(I47,I52,I59,I64)</f>
        <v>689288</v>
      </c>
      <c r="J70" s="50">
        <f t="shared" si="82"/>
        <v>656592.32000000007</v>
      </c>
      <c r="K70" s="50">
        <f t="shared" si="82"/>
        <v>711906.56640000013</v>
      </c>
      <c r="L70" s="50">
        <f t="shared" si="82"/>
        <v>714973.26470400009</v>
      </c>
      <c r="M70" s="50">
        <f t="shared" si="82"/>
        <v>732789.03359104018</v>
      </c>
      <c r="N70" s="50">
        <f t="shared" si="82"/>
        <v>799079.01820572175</v>
      </c>
      <c r="O70" s="50">
        <f t="shared" si="82"/>
        <v>718911.16159028234</v>
      </c>
      <c r="P70" s="50">
        <f t="shared" si="82"/>
        <v>797777.87161942583</v>
      </c>
      <c r="Q70" s="50">
        <f t="shared" si="82"/>
        <v>801250.46998851583</v>
      </c>
      <c r="R70" s="50">
        <f t="shared" si="82"/>
        <v>900901.07084465632</v>
      </c>
      <c r="S70" s="50">
        <f t="shared" si="82"/>
        <v>848867.50511071098</v>
      </c>
      <c r="T70" s="50">
        <f t="shared" si="82"/>
        <v>972177.74157967372</v>
      </c>
      <c r="U70" s="50">
        <f t="shared" si="82"/>
        <v>1001455.6368138194</v>
      </c>
      <c r="V70" s="50">
        <f t="shared" si="82"/>
        <v>972619.00479430403</v>
      </c>
      <c r="W70" s="50">
        <f t="shared" si="82"/>
        <v>1101264.8797590071</v>
      </c>
      <c r="X70" s="50">
        <f t="shared" si="82"/>
        <v>1031390.0166000514</v>
      </c>
      <c r="Y70" s="50">
        <f t="shared" si="82"/>
        <v>1086356.4517722165</v>
      </c>
      <c r="Z70" s="50">
        <f t="shared" si="82"/>
        <v>1207792.2939214562</v>
      </c>
      <c r="AA70" s="50">
        <f t="shared" si="82"/>
        <v>1076895.5928648468</v>
      </c>
      <c r="AB70" s="50">
        <f t="shared" si="82"/>
        <v>1186700.943699311</v>
      </c>
      <c r="AC70" s="50">
        <f t="shared" si="82"/>
        <v>1247961.9063966717</v>
      </c>
      <c r="AD70" s="50">
        <f t="shared" si="82"/>
        <v>1313540.2473176916</v>
      </c>
      <c r="AE70" s="50">
        <f t="shared" si="82"/>
        <v>1270259.8605303541</v>
      </c>
      <c r="AF70" s="50">
        <f t="shared" si="82"/>
        <v>1529189.1556457689</v>
      </c>
      <c r="AG70" s="50">
        <f t="shared" si="82"/>
        <v>1446429.3150969557</v>
      </c>
      <c r="AH70" s="50">
        <f t="shared" si="82"/>
        <v>1460384.0681616773</v>
      </c>
      <c r="AI70" s="50">
        <f t="shared" si="82"/>
        <v>1681253.5050041205</v>
      </c>
      <c r="AJ70" s="50">
        <f t="shared" si="82"/>
        <v>1552126.3972238745</v>
      </c>
      <c r="AK70" s="50">
        <f t="shared" si="82"/>
        <v>1683765.3025958827</v>
      </c>
      <c r="AL70" s="50">
        <f t="shared" si="82"/>
        <v>1697893.2836478006</v>
      </c>
      <c r="AM70" s="50">
        <f t="shared" si="82"/>
        <v>1536895.067564324</v>
      </c>
      <c r="AN70" s="50">
        <f t="shared" si="82"/>
        <v>1652480.7042529522</v>
      </c>
      <c r="AO70" s="50"/>
      <c r="AP70" s="42"/>
      <c r="AQ70" s="42"/>
    </row>
    <row r="71" spans="1:43" x14ac:dyDescent="0.3">
      <c r="A71" s="43" t="s">
        <v>22</v>
      </c>
      <c r="E71" s="50"/>
      <c r="F71" s="50"/>
      <c r="G71" s="50"/>
      <c r="H71" s="50">
        <f t="shared" ref="H71:W72" si="83">SUM(H48,H53,H60,H65)</f>
        <v>313200</v>
      </c>
      <c r="I71" s="50">
        <f t="shared" si="83"/>
        <v>329144</v>
      </c>
      <c r="J71" s="50">
        <f t="shared" si="83"/>
        <v>320467.52</v>
      </c>
      <c r="K71" s="50">
        <f t="shared" si="83"/>
        <v>343360.45440000005</v>
      </c>
      <c r="L71" s="50">
        <f t="shared" si="83"/>
        <v>342840.72672000009</v>
      </c>
      <c r="M71" s="50">
        <f t="shared" si="83"/>
        <v>357235.43284095998</v>
      </c>
      <c r="N71" s="50">
        <f t="shared" si="83"/>
        <v>378270.09475079685</v>
      </c>
      <c r="O71" s="50">
        <f t="shared" si="83"/>
        <v>345056.83161782887</v>
      </c>
      <c r="P71" s="50">
        <f t="shared" si="83"/>
        <v>386969.74054125522</v>
      </c>
      <c r="Q71" s="50">
        <f t="shared" si="83"/>
        <v>386495.2160311786</v>
      </c>
      <c r="R71" s="50">
        <f t="shared" si="83"/>
        <v>423500.74612761691</v>
      </c>
      <c r="S71" s="50">
        <f t="shared" si="83"/>
        <v>408067.49214068963</v>
      </c>
      <c r="T71" s="50">
        <f t="shared" si="83"/>
        <v>461674.62789183244</v>
      </c>
      <c r="U71" s="50">
        <f t="shared" si="83"/>
        <v>474751.07808389713</v>
      </c>
      <c r="V71" s="50">
        <f t="shared" si="83"/>
        <v>465150.87015638885</v>
      </c>
      <c r="W71" s="50">
        <f t="shared" si="83"/>
        <v>513178.66757178033</v>
      </c>
      <c r="X71" s="50">
        <f t="shared" si="82"/>
        <v>491554.05734003393</v>
      </c>
      <c r="Y71" s="50">
        <f t="shared" si="82"/>
        <v>518907.66338211694</v>
      </c>
      <c r="Z71" s="50">
        <f t="shared" si="82"/>
        <v>559876.66610905016</v>
      </c>
      <c r="AA71" s="50">
        <f t="shared" si="82"/>
        <v>506214.58862737584</v>
      </c>
      <c r="AB71" s="50">
        <f t="shared" si="82"/>
        <v>563896.80933727603</v>
      </c>
      <c r="AC71" s="50">
        <f t="shared" si="82"/>
        <v>580954.42429473472</v>
      </c>
      <c r="AD71" s="50">
        <f t="shared" si="82"/>
        <v>612977.40339575638</v>
      </c>
      <c r="AE71" s="50">
        <f t="shared" si="82"/>
        <v>598058.48577081377</v>
      </c>
      <c r="AF71" s="50">
        <f t="shared" si="82"/>
        <v>701509.40035770251</v>
      </c>
      <c r="AG71" s="50">
        <f t="shared" si="82"/>
        <v>681346.32267791464</v>
      </c>
      <c r="AH71" s="50">
        <f t="shared" si="82"/>
        <v>683971.98901428469</v>
      </c>
      <c r="AI71" s="50">
        <f t="shared" si="82"/>
        <v>767293.99979321938</v>
      </c>
      <c r="AJ71" s="50">
        <f t="shared" si="82"/>
        <v>724399.34110576974</v>
      </c>
      <c r="AK71" s="50">
        <f t="shared" si="82"/>
        <v>778288.88926110498</v>
      </c>
      <c r="AL71" s="50">
        <f t="shared" si="82"/>
        <v>786214.34204632707</v>
      </c>
      <c r="AM71" s="50">
        <f t="shared" si="82"/>
        <v>714371.8671702306</v>
      </c>
      <c r="AN71" s="50">
        <f t="shared" si="82"/>
        <v>779212.59019068046</v>
      </c>
      <c r="AO71" s="50"/>
      <c r="AP71" s="42"/>
      <c r="AQ71" s="42"/>
    </row>
    <row r="72" spans="1:43" x14ac:dyDescent="0.3">
      <c r="A72" s="43" t="s">
        <v>23</v>
      </c>
      <c r="E72" s="50"/>
      <c r="F72" s="50"/>
      <c r="G72" s="50"/>
      <c r="H72" s="50">
        <f t="shared" si="83"/>
        <v>1506000</v>
      </c>
      <c r="I72" s="50">
        <f t="shared" si="82"/>
        <v>1567720</v>
      </c>
      <c r="J72" s="50">
        <f t="shared" si="82"/>
        <v>1537441.6</v>
      </c>
      <c r="K72" s="50">
        <f t="shared" si="82"/>
        <v>1640873.952</v>
      </c>
      <c r="L72" s="50">
        <f t="shared" si="82"/>
        <v>1635238.1808000002</v>
      </c>
      <c r="M72" s="50">
        <f t="shared" si="82"/>
        <v>1713177.9900608002</v>
      </c>
      <c r="N72" s="50">
        <f t="shared" si="82"/>
        <v>1796451.547366784</v>
      </c>
      <c r="O72" s="50">
        <f t="shared" si="82"/>
        <v>1646328.2513349939</v>
      </c>
      <c r="P72" s="50">
        <f t="shared" si="82"/>
        <v>1852734.5596819599</v>
      </c>
      <c r="Q72" s="50">
        <f t="shared" si="82"/>
        <v>1847077.3714106041</v>
      </c>
      <c r="R72" s="50">
        <f t="shared" si="82"/>
        <v>2006485.4092692086</v>
      </c>
      <c r="S72" s="50">
        <f t="shared" si="82"/>
        <v>1947970.2173245433</v>
      </c>
      <c r="T72" s="50">
        <f t="shared" si="82"/>
        <v>2194899.9809681778</v>
      </c>
      <c r="U72" s="50">
        <f t="shared" si="82"/>
        <v>2255743.3055888619</v>
      </c>
      <c r="V72" s="50">
        <f t="shared" si="82"/>
        <v>2216658.7345829676</v>
      </c>
      <c r="W72" s="50">
        <f t="shared" si="82"/>
        <v>2424069.0368002318</v>
      </c>
      <c r="X72" s="50">
        <f t="shared" si="82"/>
        <v>2339772.4682193566</v>
      </c>
      <c r="Y72" s="50">
        <f t="shared" si="82"/>
        <v>2471820.5856905393</v>
      </c>
      <c r="Z72" s="50">
        <f t="shared" si="82"/>
        <v>2639850.2799591911</v>
      </c>
      <c r="AA72" s="50">
        <f t="shared" si="82"/>
        <v>2398341.4450492775</v>
      </c>
      <c r="AB72" s="50">
        <f t="shared" si="82"/>
        <v>2681443.2886752752</v>
      </c>
      <c r="AC72" s="50">
        <f t="shared" si="82"/>
        <v>2743264.4346006797</v>
      </c>
      <c r="AD72" s="50">
        <f t="shared" si="82"/>
        <v>2896919.0226308689</v>
      </c>
      <c r="AE72" s="50">
        <f t="shared" si="82"/>
        <v>2835015.3496346641</v>
      </c>
      <c r="AF72" s="50">
        <f t="shared" si="82"/>
        <v>3295593.7886540261</v>
      </c>
      <c r="AG72" s="50">
        <f t="shared" si="82"/>
        <v>3230386.5400616801</v>
      </c>
      <c r="AH72" s="50">
        <f t="shared" si="82"/>
        <v>3236461.0688104145</v>
      </c>
      <c r="AI72" s="50">
        <f t="shared" si="82"/>
        <v>3598051.4598267851</v>
      </c>
      <c r="AJ72" s="50">
        <f t="shared" si="82"/>
        <v>3423632.4809649424</v>
      </c>
      <c r="AK72" s="50">
        <f t="shared" si="82"/>
        <v>3668188.196305525</v>
      </c>
      <c r="AL72" s="50">
        <f t="shared" si="82"/>
        <v>3707815.4602316357</v>
      </c>
      <c r="AM72" s="50">
        <f t="shared" si="82"/>
        <v>3373409.3358511529</v>
      </c>
      <c r="AN72" s="50">
        <f t="shared" si="82"/>
        <v>3697612.9509534026</v>
      </c>
      <c r="AO72" s="50"/>
      <c r="AP72" s="42"/>
      <c r="AQ72" s="42"/>
    </row>
    <row r="73" spans="1:43" s="47" customFormat="1" ht="15" thickBot="1" x14ac:dyDescent="0.35">
      <c r="A73" s="47" t="s">
        <v>103</v>
      </c>
      <c r="H73" s="55">
        <f>SUM(H70:H72)</f>
        <v>2456400</v>
      </c>
      <c r="I73" s="55">
        <f t="shared" ref="I73:AN73" si="84">SUM(I70:I72)</f>
        <v>2586152</v>
      </c>
      <c r="J73" s="55">
        <f t="shared" si="84"/>
        <v>2514501.4400000004</v>
      </c>
      <c r="K73" s="55">
        <f t="shared" si="84"/>
        <v>2696140.9728000001</v>
      </c>
      <c r="L73" s="55">
        <f t="shared" si="84"/>
        <v>2693052.1722240001</v>
      </c>
      <c r="M73" s="55">
        <f t="shared" si="84"/>
        <v>2803202.4564928003</v>
      </c>
      <c r="N73" s="55">
        <f t="shared" si="84"/>
        <v>2973800.6603233023</v>
      </c>
      <c r="O73" s="55">
        <f t="shared" si="84"/>
        <v>2710296.2445431054</v>
      </c>
      <c r="P73" s="55">
        <f t="shared" si="84"/>
        <v>3037482.1718426412</v>
      </c>
      <c r="Q73" s="55">
        <f t="shared" si="84"/>
        <v>3034823.0574302985</v>
      </c>
      <c r="R73" s="55">
        <f t="shared" si="84"/>
        <v>3330887.2262414815</v>
      </c>
      <c r="S73" s="55">
        <f t="shared" si="84"/>
        <v>3204905.214575944</v>
      </c>
      <c r="T73" s="55">
        <f t="shared" si="84"/>
        <v>3628752.350439684</v>
      </c>
      <c r="U73" s="55">
        <f t="shared" si="84"/>
        <v>3731950.0204865783</v>
      </c>
      <c r="V73" s="55">
        <f t="shared" si="84"/>
        <v>3654428.6095336606</v>
      </c>
      <c r="W73" s="55">
        <f t="shared" si="84"/>
        <v>4038512.5841310192</v>
      </c>
      <c r="X73" s="55">
        <f t="shared" si="84"/>
        <v>3862716.5421594419</v>
      </c>
      <c r="Y73" s="55">
        <f t="shared" si="84"/>
        <v>4077084.7008448727</v>
      </c>
      <c r="Z73" s="55">
        <f t="shared" si="84"/>
        <v>4407519.2399896979</v>
      </c>
      <c r="AA73" s="55">
        <f t="shared" si="84"/>
        <v>3981451.6265415</v>
      </c>
      <c r="AB73" s="55">
        <f t="shared" si="84"/>
        <v>4432041.0417118622</v>
      </c>
      <c r="AC73" s="55">
        <f t="shared" si="84"/>
        <v>4572180.7652920857</v>
      </c>
      <c r="AD73" s="55">
        <f t="shared" si="84"/>
        <v>4823436.6733443169</v>
      </c>
      <c r="AE73" s="55">
        <f t="shared" si="84"/>
        <v>4703333.6959358323</v>
      </c>
      <c r="AF73" s="55">
        <f t="shared" si="84"/>
        <v>5526292.3446574975</v>
      </c>
      <c r="AG73" s="55">
        <f t="shared" si="84"/>
        <v>5358162.1778365504</v>
      </c>
      <c r="AH73" s="55">
        <f t="shared" si="84"/>
        <v>5380817.1259863768</v>
      </c>
      <c r="AI73" s="55">
        <f t="shared" si="84"/>
        <v>6046598.9646241255</v>
      </c>
      <c r="AJ73" s="55">
        <f t="shared" si="84"/>
        <v>5700158.2192945872</v>
      </c>
      <c r="AK73" s="55">
        <f t="shared" si="84"/>
        <v>6130242.3881625123</v>
      </c>
      <c r="AL73" s="55">
        <f t="shared" si="84"/>
        <v>6191923.0859257635</v>
      </c>
      <c r="AM73" s="55">
        <f t="shared" si="84"/>
        <v>5624676.2705857074</v>
      </c>
      <c r="AN73" s="55">
        <f t="shared" si="84"/>
        <v>6129306.245397035</v>
      </c>
    </row>
    <row r="74" spans="1:43" x14ac:dyDescent="0.3"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42"/>
      <c r="AQ74" s="42"/>
    </row>
    <row r="75" spans="1:43" x14ac:dyDescent="0.3"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42"/>
      <c r="AQ75" s="42"/>
    </row>
    <row r="76" spans="1:43" s="56" customFormat="1" x14ac:dyDescent="0.3">
      <c r="A76" s="56" t="s">
        <v>104</v>
      </c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8"/>
      <c r="AQ76" s="58"/>
    </row>
    <row r="77" spans="1:43" x14ac:dyDescent="0.3"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42"/>
      <c r="AQ77" s="42"/>
    </row>
    <row r="78" spans="1:43" x14ac:dyDescent="0.3"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42"/>
      <c r="AQ78" s="42"/>
    </row>
    <row r="79" spans="1:43" x14ac:dyDescent="0.3"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42"/>
      <c r="AQ79" s="42"/>
    </row>
    <row r="80" spans="1:43" x14ac:dyDescent="0.3"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42"/>
      <c r="AQ80" s="42"/>
    </row>
    <row r="81" spans="5:43" x14ac:dyDescent="0.3"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42"/>
      <c r="AQ81" s="42"/>
    </row>
    <row r="82" spans="5:43" x14ac:dyDescent="0.3"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42"/>
      <c r="AQ82" s="42"/>
    </row>
    <row r="83" spans="5:43" x14ac:dyDescent="0.3"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42"/>
      <c r="AQ83" s="42"/>
    </row>
    <row r="84" spans="5:43" x14ac:dyDescent="0.3"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42"/>
      <c r="AQ84" s="42"/>
    </row>
    <row r="85" spans="5:43" x14ac:dyDescent="0.3"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42"/>
      <c r="AQ85" s="42"/>
    </row>
    <row r="86" spans="5:43" x14ac:dyDescent="0.3"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42"/>
      <c r="AQ86" s="42"/>
    </row>
    <row r="87" spans="5:43" x14ac:dyDescent="0.3"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42"/>
      <c r="AQ87" s="42"/>
    </row>
    <row r="88" spans="5:43" x14ac:dyDescent="0.3"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42"/>
      <c r="AQ88" s="42"/>
    </row>
    <row r="89" spans="5:43" x14ac:dyDescent="0.3"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42"/>
      <c r="AQ89" s="42"/>
    </row>
    <row r="90" spans="5:43" x14ac:dyDescent="0.3"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42"/>
      <c r="AQ90" s="42"/>
    </row>
    <row r="91" spans="5:43" x14ac:dyDescent="0.3"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42"/>
      <c r="AQ91" s="42"/>
    </row>
    <row r="92" spans="5:43" x14ac:dyDescent="0.3"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42"/>
      <c r="AQ92" s="42"/>
    </row>
    <row r="93" spans="5:43" x14ac:dyDescent="0.3"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42"/>
      <c r="AQ93" s="42"/>
    </row>
    <row r="94" spans="5:43" x14ac:dyDescent="0.3"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42"/>
      <c r="AQ94" s="42"/>
    </row>
    <row r="95" spans="5:43" x14ac:dyDescent="0.3"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42"/>
      <c r="AQ95" s="42"/>
    </row>
    <row r="96" spans="5:43" x14ac:dyDescent="0.3"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42"/>
      <c r="AQ96" s="42"/>
    </row>
    <row r="97" spans="5:43" x14ac:dyDescent="0.3"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42"/>
      <c r="AQ97" s="42"/>
    </row>
    <row r="98" spans="5:43" x14ac:dyDescent="0.3"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42"/>
      <c r="AQ98" s="42"/>
    </row>
    <row r="99" spans="5:43" x14ac:dyDescent="0.3"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42"/>
      <c r="AQ99" s="42"/>
    </row>
    <row r="100" spans="5:43" x14ac:dyDescent="0.3"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42"/>
      <c r="AQ100" s="42"/>
    </row>
    <row r="101" spans="5:43" x14ac:dyDescent="0.3"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42"/>
      <c r="AQ101" s="42"/>
    </row>
    <row r="102" spans="5:43" x14ac:dyDescent="0.3"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42"/>
      <c r="AQ102" s="42"/>
    </row>
    <row r="103" spans="5:43" x14ac:dyDescent="0.3"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42"/>
      <c r="AQ103" s="42"/>
    </row>
    <row r="104" spans="5:43" x14ac:dyDescent="0.3"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42"/>
      <c r="AQ104" s="42"/>
    </row>
    <row r="105" spans="5:43" x14ac:dyDescent="0.3"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42"/>
      <c r="AQ105" s="42"/>
    </row>
    <row r="106" spans="5:43" x14ac:dyDescent="0.3"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42"/>
      <c r="AQ106" s="42"/>
    </row>
    <row r="107" spans="5:43" x14ac:dyDescent="0.3"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42"/>
      <c r="AQ107" s="42"/>
    </row>
    <row r="108" spans="5:43" x14ac:dyDescent="0.3"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42"/>
      <c r="AQ108" s="42"/>
    </row>
    <row r="109" spans="5:43" x14ac:dyDescent="0.3"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42"/>
      <c r="AQ109" s="42"/>
    </row>
    <row r="110" spans="5:43" x14ac:dyDescent="0.3"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42"/>
      <c r="AQ110" s="42"/>
    </row>
    <row r="111" spans="5:43" x14ac:dyDescent="0.3"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42"/>
      <c r="AQ111" s="42"/>
    </row>
    <row r="112" spans="5:43" x14ac:dyDescent="0.3"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42"/>
      <c r="AQ112" s="42"/>
    </row>
    <row r="113" spans="5:43" x14ac:dyDescent="0.3"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42"/>
      <c r="AQ113" s="42"/>
    </row>
    <row r="114" spans="5:43" x14ac:dyDescent="0.3"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42"/>
      <c r="AQ114" s="42"/>
    </row>
    <row r="115" spans="5:43" x14ac:dyDescent="0.3"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42"/>
      <c r="AQ115" s="42"/>
    </row>
    <row r="116" spans="5:43" x14ac:dyDescent="0.3"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42"/>
      <c r="AQ116" s="42"/>
    </row>
    <row r="117" spans="5:43" x14ac:dyDescent="0.3"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42"/>
      <c r="AQ117" s="42"/>
    </row>
    <row r="118" spans="5:43" x14ac:dyDescent="0.3"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42"/>
      <c r="AQ118" s="42"/>
    </row>
    <row r="119" spans="5:43" x14ac:dyDescent="0.3"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42"/>
      <c r="AQ119" s="42"/>
    </row>
    <row r="120" spans="5:43" x14ac:dyDescent="0.3"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42"/>
      <c r="AQ120" s="42"/>
    </row>
    <row r="121" spans="5:43" x14ac:dyDescent="0.3"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42"/>
      <c r="AQ121" s="42"/>
    </row>
    <row r="122" spans="5:43" x14ac:dyDescent="0.3"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42"/>
      <c r="AQ122" s="42"/>
    </row>
    <row r="123" spans="5:43" x14ac:dyDescent="0.3"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42"/>
      <c r="AQ123" s="42"/>
    </row>
    <row r="124" spans="5:43" x14ac:dyDescent="0.3"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42"/>
      <c r="AQ124" s="42"/>
    </row>
    <row r="125" spans="5:43" x14ac:dyDescent="0.3"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42"/>
      <c r="AQ125" s="42"/>
    </row>
    <row r="126" spans="5:43" x14ac:dyDescent="0.3"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42"/>
      <c r="AQ126" s="42"/>
    </row>
    <row r="127" spans="5:43" x14ac:dyDescent="0.3"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42"/>
      <c r="AQ127" s="42"/>
    </row>
    <row r="128" spans="5:43" x14ac:dyDescent="0.3"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42"/>
      <c r="AQ128" s="42"/>
    </row>
    <row r="129" spans="5:43" x14ac:dyDescent="0.3"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42"/>
      <c r="AQ129" s="42"/>
    </row>
    <row r="130" spans="5:43" x14ac:dyDescent="0.3"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42"/>
      <c r="AQ130" s="42"/>
    </row>
    <row r="131" spans="5:43" x14ac:dyDescent="0.3"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42"/>
      <c r="AQ131" s="42"/>
    </row>
    <row r="132" spans="5:43" x14ac:dyDescent="0.3"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42"/>
      <c r="AQ132" s="42"/>
    </row>
    <row r="133" spans="5:43" x14ac:dyDescent="0.3"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42"/>
      <c r="AQ133" s="42"/>
    </row>
    <row r="134" spans="5:43" x14ac:dyDescent="0.3"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42"/>
      <c r="AQ134" s="42"/>
    </row>
    <row r="135" spans="5:43" x14ac:dyDescent="0.3"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42"/>
      <c r="AQ135" s="42"/>
    </row>
    <row r="136" spans="5:43" x14ac:dyDescent="0.3"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42"/>
      <c r="AQ136" s="42"/>
    </row>
    <row r="137" spans="5:43" x14ac:dyDescent="0.3"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42"/>
      <c r="AQ137" s="42"/>
    </row>
    <row r="138" spans="5:43" x14ac:dyDescent="0.3"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42"/>
      <c r="AQ138" s="42"/>
    </row>
    <row r="139" spans="5:43" x14ac:dyDescent="0.3"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42"/>
      <c r="AQ139" s="42"/>
    </row>
    <row r="140" spans="5:43" x14ac:dyDescent="0.3"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42"/>
      <c r="AQ140" s="42"/>
    </row>
    <row r="141" spans="5:43" x14ac:dyDescent="0.3"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42"/>
      <c r="AQ141" s="42"/>
    </row>
    <row r="142" spans="5:43" x14ac:dyDescent="0.3"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42"/>
      <c r="AQ142" s="42"/>
    </row>
    <row r="143" spans="5:43" x14ac:dyDescent="0.3"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42"/>
      <c r="AQ143" s="42"/>
    </row>
    <row r="144" spans="5:43" x14ac:dyDescent="0.3"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42"/>
      <c r="AQ144" s="42"/>
    </row>
    <row r="145" spans="5:43" x14ac:dyDescent="0.3"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42"/>
      <c r="AQ145" s="42"/>
    </row>
    <row r="146" spans="5:43" x14ac:dyDescent="0.3"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42"/>
      <c r="AQ146" s="42"/>
    </row>
    <row r="147" spans="5:43" x14ac:dyDescent="0.3"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42"/>
      <c r="AQ147" s="42"/>
    </row>
    <row r="148" spans="5:43" x14ac:dyDescent="0.3"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42"/>
      <c r="AQ148" s="42"/>
    </row>
    <row r="149" spans="5:43" x14ac:dyDescent="0.3"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</row>
    <row r="150" spans="5:43" x14ac:dyDescent="0.3"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</row>
    <row r="151" spans="5:43" x14ac:dyDescent="0.3"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</row>
    <row r="152" spans="5:43" x14ac:dyDescent="0.3"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</row>
    <row r="153" spans="5:43" x14ac:dyDescent="0.3"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</row>
    <row r="154" spans="5:43" x14ac:dyDescent="0.3"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</row>
    <row r="155" spans="5:43" x14ac:dyDescent="0.3"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</row>
    <row r="156" spans="5:43" x14ac:dyDescent="0.3"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</row>
    <row r="157" spans="5:43" x14ac:dyDescent="0.3"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</row>
    <row r="158" spans="5:43" x14ac:dyDescent="0.3"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</row>
    <row r="159" spans="5:43" x14ac:dyDescent="0.3"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</row>
    <row r="160" spans="5:43" x14ac:dyDescent="0.3"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</row>
    <row r="161" spans="5:43" x14ac:dyDescent="0.3"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</row>
    <row r="162" spans="5:43" x14ac:dyDescent="0.3"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</row>
    <row r="163" spans="5:43" x14ac:dyDescent="0.3"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</row>
    <row r="164" spans="5:43" x14ac:dyDescent="0.3"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</row>
    <row r="165" spans="5:43" x14ac:dyDescent="0.3"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</row>
    <row r="166" spans="5:43" x14ac:dyDescent="0.3"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</row>
    <row r="167" spans="5:43" x14ac:dyDescent="0.3"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</row>
    <row r="168" spans="5:43" x14ac:dyDescent="0.3"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</row>
    <row r="169" spans="5:43" x14ac:dyDescent="0.3"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</row>
    <row r="170" spans="5:43" x14ac:dyDescent="0.3"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</row>
    <row r="171" spans="5:43" x14ac:dyDescent="0.3"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</row>
    <row r="172" spans="5:43" x14ac:dyDescent="0.3"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</row>
    <row r="173" spans="5:43" x14ac:dyDescent="0.3"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</row>
    <row r="174" spans="5:43" x14ac:dyDescent="0.3"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</row>
    <row r="175" spans="5:43" x14ac:dyDescent="0.3"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</row>
    <row r="176" spans="5:43" x14ac:dyDescent="0.3"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</row>
    <row r="177" spans="5:43" x14ac:dyDescent="0.3"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</row>
    <row r="178" spans="5:43" x14ac:dyDescent="0.3"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</row>
    <row r="179" spans="5:43" x14ac:dyDescent="0.3"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</row>
    <row r="180" spans="5:43" x14ac:dyDescent="0.3"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</row>
    <row r="181" spans="5:43" x14ac:dyDescent="0.3"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</row>
    <row r="182" spans="5:43" x14ac:dyDescent="0.3"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</row>
    <row r="183" spans="5:43" x14ac:dyDescent="0.3"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</row>
    <row r="184" spans="5:43" x14ac:dyDescent="0.3"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</row>
    <row r="185" spans="5:43" x14ac:dyDescent="0.3"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</row>
    <row r="186" spans="5:43" x14ac:dyDescent="0.3"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</row>
    <row r="187" spans="5:43" x14ac:dyDescent="0.3"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</row>
    <row r="188" spans="5:43" x14ac:dyDescent="0.3"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</row>
    <row r="189" spans="5:43" x14ac:dyDescent="0.3"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</row>
    <row r="190" spans="5:43" x14ac:dyDescent="0.3"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</row>
    <row r="191" spans="5:43" x14ac:dyDescent="0.3"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</row>
    <row r="192" spans="5:43" x14ac:dyDescent="0.3"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</row>
    <row r="193" spans="5:43" x14ac:dyDescent="0.3"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</row>
    <row r="194" spans="5:43" x14ac:dyDescent="0.3"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</row>
    <row r="195" spans="5:43" x14ac:dyDescent="0.3"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</row>
    <row r="196" spans="5:43" x14ac:dyDescent="0.3"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</row>
    <row r="197" spans="5:43" x14ac:dyDescent="0.3"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</row>
    <row r="198" spans="5:43" x14ac:dyDescent="0.3"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</row>
    <row r="199" spans="5:43" x14ac:dyDescent="0.3"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</row>
    <row r="200" spans="5:43" x14ac:dyDescent="0.3"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</row>
    <row r="201" spans="5:43" x14ac:dyDescent="0.3"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</row>
    <row r="202" spans="5:43" x14ac:dyDescent="0.3"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</row>
    <row r="203" spans="5:43" x14ac:dyDescent="0.3"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</row>
    <row r="204" spans="5:43" x14ac:dyDescent="0.3"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</row>
    <row r="205" spans="5:43" x14ac:dyDescent="0.3"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</row>
    <row r="206" spans="5:43" x14ac:dyDescent="0.3"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</row>
    <row r="207" spans="5:43" x14ac:dyDescent="0.3"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</row>
    <row r="208" spans="5:43" x14ac:dyDescent="0.3"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</row>
    <row r="209" spans="5:43" x14ac:dyDescent="0.3"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</row>
    <row r="210" spans="5:43" x14ac:dyDescent="0.3"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</row>
  </sheetData>
  <mergeCells count="3">
    <mergeCell ref="A44:C44"/>
    <mergeCell ref="A69:B69"/>
    <mergeCell ref="I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5F8F-8A5F-4427-BDB0-02B135D6036D}">
  <sheetPr>
    <tabColor rgb="FF00B050"/>
  </sheetPr>
  <dimension ref="A2:AO159"/>
  <sheetViews>
    <sheetView zoomScaleNormal="90" workbookViewId="0">
      <pane xSplit="4" ySplit="6" topLeftCell="E7" activePane="bottomRight" state="frozen"/>
      <selection pane="topRight" activeCell="E1" sqref="E1"/>
      <selection pane="bottomLeft" activeCell="A5" sqref="A5"/>
      <selection pane="bottomRight" activeCell="B4" sqref="B4"/>
    </sheetView>
  </sheetViews>
  <sheetFormatPr defaultRowHeight="14.4" x14ac:dyDescent="0.3"/>
  <cols>
    <col min="1" max="1" width="29.109375" bestFit="1" customWidth="1"/>
    <col min="2" max="2" width="8" bestFit="1" customWidth="1"/>
    <col min="4" max="4" width="2" bestFit="1" customWidth="1"/>
    <col min="5" max="5" width="9.88671875" bestFit="1" customWidth="1"/>
    <col min="6" max="6" width="10.5546875" bestFit="1" customWidth="1"/>
    <col min="7" max="7" width="9.6640625" bestFit="1" customWidth="1"/>
    <col min="8" max="40" width="12.77734375" bestFit="1" customWidth="1"/>
  </cols>
  <sheetData>
    <row r="2" spans="1:41" ht="21" x14ac:dyDescent="0.4">
      <c r="H2" s="109" t="s">
        <v>175</v>
      </c>
      <c r="I2" s="109"/>
    </row>
    <row r="4" spans="1:41" x14ac:dyDescent="0.3">
      <c r="A4" s="1" t="s">
        <v>0</v>
      </c>
      <c r="B4" s="1" t="s">
        <v>191</v>
      </c>
    </row>
    <row r="5" spans="1:41" x14ac:dyDescent="0.3">
      <c r="E5" s="5">
        <v>1</v>
      </c>
      <c r="F5" s="5">
        <f>E5+1</f>
        <v>2</v>
      </c>
      <c r="G5" s="5">
        <f>F5+1</f>
        <v>3</v>
      </c>
      <c r="H5" s="5">
        <f t="shared" ref="H5:AN5" si="0">G5+1</f>
        <v>4</v>
      </c>
      <c r="I5" s="5">
        <f t="shared" si="0"/>
        <v>5</v>
      </c>
      <c r="J5" s="5">
        <f t="shared" si="0"/>
        <v>6</v>
      </c>
      <c r="K5" s="5">
        <f t="shared" si="0"/>
        <v>7</v>
      </c>
      <c r="L5" s="5">
        <f t="shared" si="0"/>
        <v>8</v>
      </c>
      <c r="M5" s="5">
        <f t="shared" si="0"/>
        <v>9</v>
      </c>
      <c r="N5" s="5">
        <f t="shared" si="0"/>
        <v>10</v>
      </c>
      <c r="O5" s="5">
        <f t="shared" si="0"/>
        <v>11</v>
      </c>
      <c r="P5" s="5">
        <f t="shared" si="0"/>
        <v>12</v>
      </c>
      <c r="Q5" s="5">
        <f t="shared" si="0"/>
        <v>13</v>
      </c>
      <c r="R5" s="5">
        <f t="shared" si="0"/>
        <v>14</v>
      </c>
      <c r="S5" s="5">
        <f t="shared" si="0"/>
        <v>15</v>
      </c>
      <c r="T5" s="5">
        <f t="shared" si="0"/>
        <v>16</v>
      </c>
      <c r="U5" s="5">
        <f t="shared" si="0"/>
        <v>17</v>
      </c>
      <c r="V5" s="5">
        <f t="shared" si="0"/>
        <v>18</v>
      </c>
      <c r="W5" s="5">
        <f t="shared" si="0"/>
        <v>19</v>
      </c>
      <c r="X5" s="5">
        <f t="shared" si="0"/>
        <v>20</v>
      </c>
      <c r="Y5" s="5">
        <f t="shared" si="0"/>
        <v>21</v>
      </c>
      <c r="Z5" s="5">
        <f t="shared" si="0"/>
        <v>22</v>
      </c>
      <c r="AA5" s="5">
        <f t="shared" si="0"/>
        <v>23</v>
      </c>
      <c r="AB5" s="5">
        <f t="shared" si="0"/>
        <v>24</v>
      </c>
      <c r="AC5" s="5">
        <f t="shared" si="0"/>
        <v>25</v>
      </c>
      <c r="AD5" s="5">
        <f t="shared" si="0"/>
        <v>26</v>
      </c>
      <c r="AE5" s="5">
        <f t="shared" si="0"/>
        <v>27</v>
      </c>
      <c r="AF5" s="5">
        <f t="shared" si="0"/>
        <v>28</v>
      </c>
      <c r="AG5" s="5">
        <f t="shared" si="0"/>
        <v>29</v>
      </c>
      <c r="AH5" s="5">
        <f t="shared" si="0"/>
        <v>30</v>
      </c>
      <c r="AI5" s="5">
        <f t="shared" si="0"/>
        <v>31</v>
      </c>
      <c r="AJ5" s="5">
        <f t="shared" si="0"/>
        <v>32</v>
      </c>
      <c r="AK5" s="5">
        <f t="shared" si="0"/>
        <v>33</v>
      </c>
      <c r="AL5" s="5">
        <f t="shared" si="0"/>
        <v>34</v>
      </c>
      <c r="AM5" s="5">
        <f t="shared" si="0"/>
        <v>35</v>
      </c>
      <c r="AN5" s="5">
        <f t="shared" si="0"/>
        <v>36</v>
      </c>
    </row>
    <row r="6" spans="1:41" x14ac:dyDescent="0.3">
      <c r="E6" s="4">
        <f>EOMONTH(Assumptions!C5,0)</f>
        <v>43951</v>
      </c>
      <c r="F6" s="4">
        <f>EOMONTH(E6,1)</f>
        <v>43982</v>
      </c>
      <c r="G6" s="4">
        <f>EOMONTH(F6,1)</f>
        <v>44012</v>
      </c>
      <c r="H6" s="4">
        <f t="shared" ref="H6:AN6" si="1">EOMONTH(G6,1)</f>
        <v>44043</v>
      </c>
      <c r="I6" s="4">
        <f t="shared" si="1"/>
        <v>44074</v>
      </c>
      <c r="J6" s="4">
        <f t="shared" si="1"/>
        <v>44104</v>
      </c>
      <c r="K6" s="4">
        <f t="shared" si="1"/>
        <v>44135</v>
      </c>
      <c r="L6" s="4">
        <f t="shared" si="1"/>
        <v>44165</v>
      </c>
      <c r="M6" s="4">
        <f t="shared" si="1"/>
        <v>44196</v>
      </c>
      <c r="N6" s="4">
        <f t="shared" si="1"/>
        <v>44227</v>
      </c>
      <c r="O6" s="4">
        <f t="shared" si="1"/>
        <v>44255</v>
      </c>
      <c r="P6" s="4">
        <f t="shared" si="1"/>
        <v>44286</v>
      </c>
      <c r="Q6" s="4">
        <f t="shared" si="1"/>
        <v>44316</v>
      </c>
      <c r="R6" s="4">
        <f t="shared" si="1"/>
        <v>44347</v>
      </c>
      <c r="S6" s="4">
        <f t="shared" si="1"/>
        <v>44377</v>
      </c>
      <c r="T6" s="4">
        <f t="shared" si="1"/>
        <v>44408</v>
      </c>
      <c r="U6" s="4">
        <f t="shared" si="1"/>
        <v>44439</v>
      </c>
      <c r="V6" s="4">
        <f t="shared" si="1"/>
        <v>44469</v>
      </c>
      <c r="W6" s="4">
        <f t="shared" si="1"/>
        <v>44500</v>
      </c>
      <c r="X6" s="4">
        <f t="shared" si="1"/>
        <v>44530</v>
      </c>
      <c r="Y6" s="4">
        <f t="shared" si="1"/>
        <v>44561</v>
      </c>
      <c r="Z6" s="4">
        <f t="shared" si="1"/>
        <v>44592</v>
      </c>
      <c r="AA6" s="4">
        <f t="shared" si="1"/>
        <v>44620</v>
      </c>
      <c r="AB6" s="4">
        <f t="shared" si="1"/>
        <v>44651</v>
      </c>
      <c r="AC6" s="4">
        <f t="shared" si="1"/>
        <v>44681</v>
      </c>
      <c r="AD6" s="4">
        <f t="shared" si="1"/>
        <v>44712</v>
      </c>
      <c r="AE6" s="4">
        <f t="shared" si="1"/>
        <v>44742</v>
      </c>
      <c r="AF6" s="4">
        <f t="shared" si="1"/>
        <v>44773</v>
      </c>
      <c r="AG6" s="4">
        <f t="shared" si="1"/>
        <v>44804</v>
      </c>
      <c r="AH6" s="4">
        <f t="shared" si="1"/>
        <v>44834</v>
      </c>
      <c r="AI6" s="4">
        <f t="shared" si="1"/>
        <v>44865</v>
      </c>
      <c r="AJ6" s="4">
        <f t="shared" si="1"/>
        <v>44895</v>
      </c>
      <c r="AK6" s="4">
        <f t="shared" si="1"/>
        <v>44926</v>
      </c>
      <c r="AL6" s="4">
        <f t="shared" si="1"/>
        <v>44957</v>
      </c>
      <c r="AM6" s="4">
        <f t="shared" si="1"/>
        <v>44985</v>
      </c>
      <c r="AN6" s="4">
        <f t="shared" si="1"/>
        <v>45016</v>
      </c>
      <c r="AO6" s="2"/>
    </row>
    <row r="8" spans="1:41" x14ac:dyDescent="0.3">
      <c r="A8" s="6" t="s">
        <v>31</v>
      </c>
    </row>
    <row r="9" spans="1:41" x14ac:dyDescent="0.3">
      <c r="A9" t="str">
        <f>'Monthly Revenue'!A70</f>
        <v>Alcoholic Beverages</v>
      </c>
      <c r="E9" s="50">
        <f>'Monthly Revenue'!E70</f>
        <v>0</v>
      </c>
      <c r="F9" s="50">
        <f>'Monthly Revenue'!F70</f>
        <v>0</v>
      </c>
      <c r="G9" s="50">
        <f>'Monthly Revenue'!G70</f>
        <v>0</v>
      </c>
      <c r="H9" s="50">
        <f>'Monthly Revenue'!H70</f>
        <v>637200</v>
      </c>
      <c r="I9" s="50">
        <f>'Monthly Revenue'!I70</f>
        <v>689288</v>
      </c>
      <c r="J9" s="50">
        <f>'Monthly Revenue'!J70</f>
        <v>656592.32000000007</v>
      </c>
      <c r="K9" s="50">
        <f>'Monthly Revenue'!K70</f>
        <v>711906.56640000013</v>
      </c>
      <c r="L9" s="50">
        <f>'Monthly Revenue'!L70</f>
        <v>714973.26470400009</v>
      </c>
      <c r="M9" s="50">
        <f>'Monthly Revenue'!M70</f>
        <v>732789.03359104018</v>
      </c>
      <c r="N9" s="50">
        <f>'Monthly Revenue'!N70</f>
        <v>799079.01820572175</v>
      </c>
      <c r="O9" s="50">
        <f>'Monthly Revenue'!O70</f>
        <v>718911.16159028234</v>
      </c>
      <c r="P9" s="50">
        <f>'Monthly Revenue'!P70</f>
        <v>797777.87161942583</v>
      </c>
      <c r="Q9" s="50">
        <f>'Monthly Revenue'!Q70</f>
        <v>801250.46998851583</v>
      </c>
      <c r="R9" s="50">
        <f>'Monthly Revenue'!R70</f>
        <v>900901.07084465632</v>
      </c>
      <c r="S9" s="50">
        <f>'Monthly Revenue'!S70</f>
        <v>848867.50511071098</v>
      </c>
      <c r="T9" s="50">
        <f>'Monthly Revenue'!T70</f>
        <v>972177.74157967372</v>
      </c>
      <c r="U9" s="50">
        <f>'Monthly Revenue'!U70</f>
        <v>1001455.6368138194</v>
      </c>
      <c r="V9" s="50">
        <f>'Monthly Revenue'!V70</f>
        <v>972619.00479430403</v>
      </c>
      <c r="W9" s="50">
        <f>'Monthly Revenue'!W70</f>
        <v>1101264.8797590071</v>
      </c>
      <c r="X9" s="50">
        <f>'Monthly Revenue'!X70</f>
        <v>1031390.0166000514</v>
      </c>
      <c r="Y9" s="50">
        <f>'Monthly Revenue'!Y70</f>
        <v>1086356.4517722165</v>
      </c>
      <c r="Z9" s="50">
        <f>'Monthly Revenue'!Z70</f>
        <v>1207792.2939214562</v>
      </c>
      <c r="AA9" s="50">
        <f>'Monthly Revenue'!AA70</f>
        <v>1076895.5928648468</v>
      </c>
      <c r="AB9" s="50">
        <f>'Monthly Revenue'!AB70</f>
        <v>1186700.943699311</v>
      </c>
      <c r="AC9" s="50">
        <f>'Monthly Revenue'!AC70</f>
        <v>1247961.9063966717</v>
      </c>
      <c r="AD9" s="50">
        <f>'Monthly Revenue'!AD70</f>
        <v>1313540.2473176916</v>
      </c>
      <c r="AE9" s="50">
        <f>'Monthly Revenue'!AE70</f>
        <v>1270259.8605303541</v>
      </c>
      <c r="AF9" s="50">
        <f>'Monthly Revenue'!AF70</f>
        <v>1529189.1556457689</v>
      </c>
      <c r="AG9" s="50">
        <f>'Monthly Revenue'!AG70</f>
        <v>1446429.3150969557</v>
      </c>
      <c r="AH9" s="50">
        <f>'Monthly Revenue'!AH70</f>
        <v>1460384.0681616773</v>
      </c>
      <c r="AI9" s="50">
        <f>'Monthly Revenue'!AI70</f>
        <v>1681253.5050041205</v>
      </c>
      <c r="AJ9" s="50">
        <f>'Monthly Revenue'!AJ70</f>
        <v>1552126.3972238745</v>
      </c>
      <c r="AK9" s="50">
        <f>'Monthly Revenue'!AK70</f>
        <v>1683765.3025958827</v>
      </c>
      <c r="AL9" s="50">
        <f>'Monthly Revenue'!AL70</f>
        <v>1697893.2836478006</v>
      </c>
      <c r="AM9" s="50">
        <f>'Monthly Revenue'!AM70</f>
        <v>1536895.067564324</v>
      </c>
      <c r="AN9" s="50">
        <f>'Monthly Revenue'!AN70</f>
        <v>1652480.7042529522</v>
      </c>
      <c r="AO9" s="50"/>
    </row>
    <row r="10" spans="1:41" x14ac:dyDescent="0.3">
      <c r="A10" t="str">
        <f>'Monthly Revenue'!A71</f>
        <v>Non-Alcoholic Bevarages</v>
      </c>
      <c r="E10" s="50">
        <f>'Monthly Revenue'!E71</f>
        <v>0</v>
      </c>
      <c r="F10" s="50">
        <f>'Monthly Revenue'!F71</f>
        <v>0</v>
      </c>
      <c r="G10" s="50">
        <f>'Monthly Revenue'!G71</f>
        <v>0</v>
      </c>
      <c r="H10" s="50">
        <f>'Monthly Revenue'!H71</f>
        <v>313200</v>
      </c>
      <c r="I10" s="50">
        <f>'Monthly Revenue'!I71</f>
        <v>329144</v>
      </c>
      <c r="J10" s="50">
        <f>'Monthly Revenue'!J71</f>
        <v>320467.52</v>
      </c>
      <c r="K10" s="50">
        <f>'Monthly Revenue'!K71</f>
        <v>343360.45440000005</v>
      </c>
      <c r="L10" s="50">
        <f>'Monthly Revenue'!L71</f>
        <v>342840.72672000009</v>
      </c>
      <c r="M10" s="50">
        <f>'Monthly Revenue'!M71</f>
        <v>357235.43284095998</v>
      </c>
      <c r="N10" s="50">
        <f>'Monthly Revenue'!N71</f>
        <v>378270.09475079685</v>
      </c>
      <c r="O10" s="50">
        <f>'Monthly Revenue'!O71</f>
        <v>345056.83161782887</v>
      </c>
      <c r="P10" s="50">
        <f>'Monthly Revenue'!P71</f>
        <v>386969.74054125522</v>
      </c>
      <c r="Q10" s="50">
        <f>'Monthly Revenue'!Q71</f>
        <v>386495.2160311786</v>
      </c>
      <c r="R10" s="50">
        <f>'Monthly Revenue'!R71</f>
        <v>423500.74612761691</v>
      </c>
      <c r="S10" s="50">
        <f>'Monthly Revenue'!S71</f>
        <v>408067.49214068963</v>
      </c>
      <c r="T10" s="50">
        <f>'Monthly Revenue'!T71</f>
        <v>461674.62789183244</v>
      </c>
      <c r="U10" s="50">
        <f>'Monthly Revenue'!U71</f>
        <v>474751.07808389713</v>
      </c>
      <c r="V10" s="50">
        <f>'Monthly Revenue'!V71</f>
        <v>465150.87015638885</v>
      </c>
      <c r="W10" s="50">
        <f>'Monthly Revenue'!W71</f>
        <v>513178.66757178033</v>
      </c>
      <c r="X10" s="50">
        <f>'Monthly Revenue'!X71</f>
        <v>491554.05734003393</v>
      </c>
      <c r="Y10" s="50">
        <f>'Monthly Revenue'!Y71</f>
        <v>518907.66338211694</v>
      </c>
      <c r="Z10" s="50">
        <f>'Monthly Revenue'!Z71</f>
        <v>559876.66610905016</v>
      </c>
      <c r="AA10" s="50">
        <f>'Monthly Revenue'!AA71</f>
        <v>506214.58862737584</v>
      </c>
      <c r="AB10" s="50">
        <f>'Monthly Revenue'!AB71</f>
        <v>563896.80933727603</v>
      </c>
      <c r="AC10" s="50">
        <f>'Monthly Revenue'!AC71</f>
        <v>580954.42429473472</v>
      </c>
      <c r="AD10" s="50">
        <f>'Monthly Revenue'!AD71</f>
        <v>612977.40339575638</v>
      </c>
      <c r="AE10" s="50">
        <f>'Monthly Revenue'!AE71</f>
        <v>598058.48577081377</v>
      </c>
      <c r="AF10" s="50">
        <f>'Monthly Revenue'!AF71</f>
        <v>701509.40035770251</v>
      </c>
      <c r="AG10" s="50">
        <f>'Monthly Revenue'!AG71</f>
        <v>681346.32267791464</v>
      </c>
      <c r="AH10" s="50">
        <f>'Monthly Revenue'!AH71</f>
        <v>683971.98901428469</v>
      </c>
      <c r="AI10" s="50">
        <f>'Monthly Revenue'!AI71</f>
        <v>767293.99979321938</v>
      </c>
      <c r="AJ10" s="50">
        <f>'Monthly Revenue'!AJ71</f>
        <v>724399.34110576974</v>
      </c>
      <c r="AK10" s="50">
        <f>'Monthly Revenue'!AK71</f>
        <v>778288.88926110498</v>
      </c>
      <c r="AL10" s="50">
        <f>'Monthly Revenue'!AL71</f>
        <v>786214.34204632707</v>
      </c>
      <c r="AM10" s="50">
        <f>'Monthly Revenue'!AM71</f>
        <v>714371.8671702306</v>
      </c>
      <c r="AN10" s="50">
        <f>'Monthly Revenue'!AN71</f>
        <v>779212.59019068046</v>
      </c>
      <c r="AO10" s="50"/>
    </row>
    <row r="11" spans="1:41" x14ac:dyDescent="0.3">
      <c r="A11" t="str">
        <f>'Monthly Revenue'!A72</f>
        <v>Food</v>
      </c>
      <c r="E11" s="50">
        <f>'Monthly Revenue'!E72</f>
        <v>0</v>
      </c>
      <c r="F11" s="50">
        <f>'Monthly Revenue'!F72</f>
        <v>0</v>
      </c>
      <c r="G11" s="50">
        <f>'Monthly Revenue'!G72</f>
        <v>0</v>
      </c>
      <c r="H11" s="50">
        <f>'Monthly Revenue'!H72</f>
        <v>1506000</v>
      </c>
      <c r="I11" s="50">
        <f>'Monthly Revenue'!I72</f>
        <v>1567720</v>
      </c>
      <c r="J11" s="50">
        <f>'Monthly Revenue'!J72</f>
        <v>1537441.6</v>
      </c>
      <c r="K11" s="50">
        <f>'Monthly Revenue'!K72</f>
        <v>1640873.952</v>
      </c>
      <c r="L11" s="50">
        <f>'Monthly Revenue'!L72</f>
        <v>1635238.1808000002</v>
      </c>
      <c r="M11" s="50">
        <f>'Monthly Revenue'!M72</f>
        <v>1713177.9900608002</v>
      </c>
      <c r="N11" s="50">
        <f>'Monthly Revenue'!N72</f>
        <v>1796451.547366784</v>
      </c>
      <c r="O11" s="50">
        <f>'Monthly Revenue'!O72</f>
        <v>1646328.2513349939</v>
      </c>
      <c r="P11" s="50">
        <f>'Monthly Revenue'!P72</f>
        <v>1852734.5596819599</v>
      </c>
      <c r="Q11" s="50">
        <f>'Monthly Revenue'!Q72</f>
        <v>1847077.3714106041</v>
      </c>
      <c r="R11" s="50">
        <f>'Monthly Revenue'!R72</f>
        <v>2006485.4092692086</v>
      </c>
      <c r="S11" s="50">
        <f>'Monthly Revenue'!S72</f>
        <v>1947970.2173245433</v>
      </c>
      <c r="T11" s="50">
        <f>'Monthly Revenue'!T72</f>
        <v>2194899.9809681778</v>
      </c>
      <c r="U11" s="50">
        <f>'Monthly Revenue'!U72</f>
        <v>2255743.3055888619</v>
      </c>
      <c r="V11" s="50">
        <f>'Monthly Revenue'!V72</f>
        <v>2216658.7345829676</v>
      </c>
      <c r="W11" s="50">
        <f>'Monthly Revenue'!W72</f>
        <v>2424069.0368002318</v>
      </c>
      <c r="X11" s="50">
        <f>'Monthly Revenue'!X72</f>
        <v>2339772.4682193566</v>
      </c>
      <c r="Y11" s="50">
        <f>'Monthly Revenue'!Y72</f>
        <v>2471820.5856905393</v>
      </c>
      <c r="Z11" s="50">
        <f>'Monthly Revenue'!Z72</f>
        <v>2639850.2799591911</v>
      </c>
      <c r="AA11" s="50">
        <f>'Monthly Revenue'!AA72</f>
        <v>2398341.4450492775</v>
      </c>
      <c r="AB11" s="50">
        <f>'Monthly Revenue'!AB72</f>
        <v>2681443.2886752752</v>
      </c>
      <c r="AC11" s="50">
        <f>'Monthly Revenue'!AC72</f>
        <v>2743264.4346006797</v>
      </c>
      <c r="AD11" s="50">
        <f>'Monthly Revenue'!AD72</f>
        <v>2896919.0226308689</v>
      </c>
      <c r="AE11" s="50">
        <f>'Monthly Revenue'!AE72</f>
        <v>2835015.3496346641</v>
      </c>
      <c r="AF11" s="50">
        <f>'Monthly Revenue'!AF72</f>
        <v>3295593.7886540261</v>
      </c>
      <c r="AG11" s="50">
        <f>'Monthly Revenue'!AG72</f>
        <v>3230386.5400616801</v>
      </c>
      <c r="AH11" s="50">
        <f>'Monthly Revenue'!AH72</f>
        <v>3236461.0688104145</v>
      </c>
      <c r="AI11" s="50">
        <f>'Monthly Revenue'!AI72</f>
        <v>3598051.4598267851</v>
      </c>
      <c r="AJ11" s="50">
        <f>'Monthly Revenue'!AJ72</f>
        <v>3423632.4809649424</v>
      </c>
      <c r="AK11" s="50">
        <f>'Monthly Revenue'!AK72</f>
        <v>3668188.196305525</v>
      </c>
      <c r="AL11" s="50">
        <f>'Monthly Revenue'!AL72</f>
        <v>3707815.4602316357</v>
      </c>
      <c r="AM11" s="50">
        <f>'Monthly Revenue'!AM72</f>
        <v>3373409.3358511529</v>
      </c>
      <c r="AN11" s="50">
        <f>'Monthly Revenue'!AN72</f>
        <v>3697612.9509534026</v>
      </c>
      <c r="AO11" s="50"/>
    </row>
    <row r="12" spans="1:41" s="48" customFormat="1" ht="15" thickBot="1" x14ac:dyDescent="0.35">
      <c r="A12" s="48" t="str">
        <f>'Monthly Revenue'!A73</f>
        <v>Total Monthly Revenue</v>
      </c>
      <c r="E12" s="54">
        <f>'Monthly Revenue'!E73</f>
        <v>0</v>
      </c>
      <c r="F12" s="54">
        <f>'Monthly Revenue'!F73</f>
        <v>0</v>
      </c>
      <c r="G12" s="54">
        <f>'Monthly Revenue'!G73</f>
        <v>0</v>
      </c>
      <c r="H12" s="54">
        <f>'Monthly Revenue'!H73</f>
        <v>2456400</v>
      </c>
      <c r="I12" s="54">
        <f>'Monthly Revenue'!I73</f>
        <v>2586152</v>
      </c>
      <c r="J12" s="54">
        <f>'Monthly Revenue'!J73</f>
        <v>2514501.4400000004</v>
      </c>
      <c r="K12" s="54">
        <f>'Monthly Revenue'!K73</f>
        <v>2696140.9728000001</v>
      </c>
      <c r="L12" s="54">
        <f>'Monthly Revenue'!L73</f>
        <v>2693052.1722240001</v>
      </c>
      <c r="M12" s="54">
        <f>'Monthly Revenue'!M73</f>
        <v>2803202.4564928003</v>
      </c>
      <c r="N12" s="54">
        <f>'Monthly Revenue'!N73</f>
        <v>2973800.6603233023</v>
      </c>
      <c r="O12" s="54">
        <f>'Monthly Revenue'!O73</f>
        <v>2710296.2445431054</v>
      </c>
      <c r="P12" s="54">
        <f>'Monthly Revenue'!P73</f>
        <v>3037482.1718426412</v>
      </c>
      <c r="Q12" s="54">
        <f>'Monthly Revenue'!Q73</f>
        <v>3034823.0574302985</v>
      </c>
      <c r="R12" s="54">
        <f>'Monthly Revenue'!R73</f>
        <v>3330887.2262414815</v>
      </c>
      <c r="S12" s="54">
        <f>'Monthly Revenue'!S73</f>
        <v>3204905.214575944</v>
      </c>
      <c r="T12" s="54">
        <f>'Monthly Revenue'!T73</f>
        <v>3628752.350439684</v>
      </c>
      <c r="U12" s="54">
        <f>'Monthly Revenue'!U73</f>
        <v>3731950.0204865783</v>
      </c>
      <c r="V12" s="54">
        <f>'Monthly Revenue'!V73</f>
        <v>3654428.6095336606</v>
      </c>
      <c r="W12" s="54">
        <f>'Monthly Revenue'!W73</f>
        <v>4038512.5841310192</v>
      </c>
      <c r="X12" s="54">
        <f>'Monthly Revenue'!X73</f>
        <v>3862716.5421594419</v>
      </c>
      <c r="Y12" s="54">
        <f>'Monthly Revenue'!Y73</f>
        <v>4077084.7008448727</v>
      </c>
      <c r="Z12" s="54">
        <f>'Monthly Revenue'!Z73</f>
        <v>4407519.2399896979</v>
      </c>
      <c r="AA12" s="54">
        <f>'Monthly Revenue'!AA73</f>
        <v>3981451.6265415</v>
      </c>
      <c r="AB12" s="54">
        <f>'Monthly Revenue'!AB73</f>
        <v>4432041.0417118622</v>
      </c>
      <c r="AC12" s="54">
        <f>'Monthly Revenue'!AC73</f>
        <v>4572180.7652920857</v>
      </c>
      <c r="AD12" s="54">
        <f>'Monthly Revenue'!AD73</f>
        <v>4823436.6733443169</v>
      </c>
      <c r="AE12" s="54">
        <f>'Monthly Revenue'!AE73</f>
        <v>4703333.6959358323</v>
      </c>
      <c r="AF12" s="54">
        <f>'Monthly Revenue'!AF73</f>
        <v>5526292.3446574975</v>
      </c>
      <c r="AG12" s="54">
        <f>'Monthly Revenue'!AG73</f>
        <v>5358162.1778365504</v>
      </c>
      <c r="AH12" s="54">
        <f>'Monthly Revenue'!AH73</f>
        <v>5380817.1259863768</v>
      </c>
      <c r="AI12" s="54">
        <f>'Monthly Revenue'!AI73</f>
        <v>6046598.9646241255</v>
      </c>
      <c r="AJ12" s="54">
        <f>'Monthly Revenue'!AJ73</f>
        <v>5700158.2192945872</v>
      </c>
      <c r="AK12" s="54">
        <f>'Monthly Revenue'!AK73</f>
        <v>6130242.3881625123</v>
      </c>
      <c r="AL12" s="54">
        <f>'Monthly Revenue'!AL73</f>
        <v>6191923.0859257635</v>
      </c>
      <c r="AM12" s="54">
        <f>'Monthly Revenue'!AM73</f>
        <v>5624676.2705857074</v>
      </c>
      <c r="AN12" s="54">
        <f>'Monthly Revenue'!AN73</f>
        <v>6129306.245397035</v>
      </c>
      <c r="AO12" s="54"/>
    </row>
    <row r="13" spans="1:41" x14ac:dyDescent="0.3"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</row>
    <row r="14" spans="1:41" x14ac:dyDescent="0.3">
      <c r="A14" s="1" t="s">
        <v>105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</row>
    <row r="15" spans="1:41" x14ac:dyDescent="0.3">
      <c r="A15" s="105" t="str">
        <f>Assumptions!A34</f>
        <v>Alcoholic Beverage Cost (% of Revenue</v>
      </c>
      <c r="B15" s="105"/>
      <c r="C15" s="105"/>
      <c r="E15" s="50"/>
      <c r="F15" s="50"/>
      <c r="G15" s="50"/>
      <c r="H15" s="50">
        <f>Assumptions!$D34*'Monthly P&amp;L'!H9</f>
        <v>223020</v>
      </c>
      <c r="I15" s="50">
        <f>Assumptions!$D34*'Monthly P&amp;L'!I9</f>
        <v>241250.8</v>
      </c>
      <c r="J15" s="50">
        <f>Assumptions!$D34*'Monthly P&amp;L'!J9</f>
        <v>229807.31200000001</v>
      </c>
      <c r="K15" s="50">
        <f>Assumptions!$D34*'Monthly P&amp;L'!K9</f>
        <v>249167.29824000003</v>
      </c>
      <c r="L15" s="50">
        <f>Assumptions!$D34*'Monthly P&amp;L'!L9</f>
        <v>250240.64264640003</v>
      </c>
      <c r="M15" s="50">
        <f>Assumptions!$D34*'Monthly P&amp;L'!M9</f>
        <v>256476.16175686405</v>
      </c>
      <c r="N15" s="50">
        <f>Assumptions!$D34*'Monthly P&amp;L'!N9</f>
        <v>279677.65637200262</v>
      </c>
      <c r="O15" s="50">
        <f>Assumptions!$D34*'Monthly P&amp;L'!O9</f>
        <v>251618.90655659881</v>
      </c>
      <c r="P15" s="50">
        <f>Assumptions!$D34*'Monthly P&amp;L'!P9</f>
        <v>279222.255066799</v>
      </c>
      <c r="Q15" s="50">
        <f>Assumptions!$D34*'Monthly P&amp;L'!Q9</f>
        <v>280437.66449598054</v>
      </c>
      <c r="R15" s="50">
        <f>Assumptions!$D34*'Monthly P&amp;L'!R9</f>
        <v>315315.3747956297</v>
      </c>
      <c r="S15" s="50">
        <f>Assumptions!$D34*'Monthly P&amp;L'!S9</f>
        <v>297103.62678874884</v>
      </c>
      <c r="T15" s="50">
        <f>Assumptions!$D34*'Monthly P&amp;L'!T9</f>
        <v>340262.20955288579</v>
      </c>
      <c r="U15" s="50">
        <f>Assumptions!$D34*'Monthly P&amp;L'!U9</f>
        <v>350509.47288483678</v>
      </c>
      <c r="V15" s="50">
        <f>Assumptions!$D34*'Monthly P&amp;L'!V9</f>
        <v>340416.6516780064</v>
      </c>
      <c r="W15" s="50">
        <f>Assumptions!$D34*'Monthly P&amp;L'!W9</f>
        <v>385442.70791565249</v>
      </c>
      <c r="X15" s="50">
        <f>Assumptions!$D34*'Monthly P&amp;L'!X9</f>
        <v>360986.50581001799</v>
      </c>
      <c r="Y15" s="50">
        <f>Assumptions!$D34*'Monthly P&amp;L'!Y9</f>
        <v>380224.75812027574</v>
      </c>
      <c r="Z15" s="50">
        <f>Assumptions!$D34*'Monthly P&amp;L'!Z9</f>
        <v>422727.30287250964</v>
      </c>
      <c r="AA15" s="50">
        <f>Assumptions!$D34*'Monthly P&amp;L'!AA9</f>
        <v>376913.45750269637</v>
      </c>
      <c r="AB15" s="50">
        <f>Assumptions!$D34*'Monthly P&amp;L'!AB9</f>
        <v>415345.33029475884</v>
      </c>
      <c r="AC15" s="50">
        <f>Assumptions!$D34*'Monthly P&amp;L'!AC9</f>
        <v>436786.66723883507</v>
      </c>
      <c r="AD15" s="50">
        <f>Assumptions!$D34*'Monthly P&amp;L'!AD9</f>
        <v>459739.086561192</v>
      </c>
      <c r="AE15" s="50">
        <f>Assumptions!$D34*'Monthly P&amp;L'!AE9</f>
        <v>444590.95118562388</v>
      </c>
      <c r="AF15" s="50">
        <f>Assumptions!$D34*'Monthly P&amp;L'!AF9</f>
        <v>535216.20447601902</v>
      </c>
      <c r="AG15" s="50">
        <f>Assumptions!$D34*'Monthly P&amp;L'!AG9</f>
        <v>506250.26028393448</v>
      </c>
      <c r="AH15" s="50">
        <f>Assumptions!$D34*'Monthly P&amp;L'!AH9</f>
        <v>511134.42385658703</v>
      </c>
      <c r="AI15" s="50">
        <f>Assumptions!$D34*'Monthly P&amp;L'!AI9</f>
        <v>588438.72675144218</v>
      </c>
      <c r="AJ15" s="50">
        <f>Assumptions!$D34*'Monthly P&amp;L'!AJ9</f>
        <v>543244.23902835604</v>
      </c>
      <c r="AK15" s="50">
        <f>Assumptions!$D34*'Monthly P&amp;L'!AK9</f>
        <v>589317.85590855894</v>
      </c>
      <c r="AL15" s="50">
        <f>Assumptions!$D34*'Monthly P&amp;L'!AL9</f>
        <v>594262.64927673014</v>
      </c>
      <c r="AM15" s="50">
        <f>Assumptions!$D34*'Monthly P&amp;L'!AM9</f>
        <v>537913.27364751336</v>
      </c>
      <c r="AN15" s="50">
        <f>Assumptions!$D34*'Monthly P&amp;L'!AN9</f>
        <v>578368.24648853322</v>
      </c>
      <c r="AO15" s="50"/>
    </row>
    <row r="16" spans="1:41" x14ac:dyDescent="0.3">
      <c r="A16" s="105" t="str">
        <f>Assumptions!A35</f>
        <v>Non Alcoholic Beverage Cost (% of Revenue)</v>
      </c>
      <c r="B16" s="105"/>
      <c r="C16" s="105"/>
      <c r="E16" s="50"/>
      <c r="F16" s="50"/>
      <c r="G16" s="50"/>
      <c r="H16" s="50">
        <f>Assumptions!$D35*'Monthly P&amp;L'!H10</f>
        <v>125280</v>
      </c>
      <c r="I16" s="50">
        <f>Assumptions!$D35*'Monthly P&amp;L'!I10</f>
        <v>131657.60000000001</v>
      </c>
      <c r="J16" s="50">
        <f>Assumptions!$D35*'Monthly P&amp;L'!J10</f>
        <v>128187.00800000002</v>
      </c>
      <c r="K16" s="50">
        <f>Assumptions!$D35*'Monthly P&amp;L'!K10</f>
        <v>137344.18176000004</v>
      </c>
      <c r="L16" s="50">
        <f>Assumptions!$D35*'Monthly P&amp;L'!L10</f>
        <v>137136.29068800004</v>
      </c>
      <c r="M16" s="50">
        <f>Assumptions!$D35*'Monthly P&amp;L'!M10</f>
        <v>142894.17313638399</v>
      </c>
      <c r="N16" s="50">
        <f>Assumptions!$D35*'Monthly P&amp;L'!N10</f>
        <v>151308.03790031874</v>
      </c>
      <c r="O16" s="50">
        <f>Assumptions!$D35*'Monthly P&amp;L'!O10</f>
        <v>138022.73264713155</v>
      </c>
      <c r="P16" s="50">
        <f>Assumptions!$D35*'Monthly P&amp;L'!P10</f>
        <v>154787.89621650209</v>
      </c>
      <c r="Q16" s="50">
        <f>Assumptions!$D35*'Monthly P&amp;L'!Q10</f>
        <v>154598.08641247146</v>
      </c>
      <c r="R16" s="50">
        <f>Assumptions!$D35*'Monthly P&amp;L'!R10</f>
        <v>169400.29845104678</v>
      </c>
      <c r="S16" s="50">
        <f>Assumptions!$D35*'Monthly P&amp;L'!S10</f>
        <v>163226.99685627586</v>
      </c>
      <c r="T16" s="50">
        <f>Assumptions!$D35*'Monthly P&amp;L'!T10</f>
        <v>184669.851156733</v>
      </c>
      <c r="U16" s="50">
        <f>Assumptions!$D35*'Monthly P&amp;L'!U10</f>
        <v>189900.43123355886</v>
      </c>
      <c r="V16" s="50">
        <f>Assumptions!$D35*'Monthly P&amp;L'!V10</f>
        <v>186060.34806255554</v>
      </c>
      <c r="W16" s="50">
        <f>Assumptions!$D35*'Monthly P&amp;L'!W10</f>
        <v>205271.46702871216</v>
      </c>
      <c r="X16" s="50">
        <f>Assumptions!$D35*'Monthly P&amp;L'!X10</f>
        <v>196621.62293601359</v>
      </c>
      <c r="Y16" s="50">
        <f>Assumptions!$D35*'Monthly P&amp;L'!Y10</f>
        <v>207563.06535284678</v>
      </c>
      <c r="Z16" s="50">
        <f>Assumptions!$D35*'Monthly P&amp;L'!Z10</f>
        <v>223950.66644362008</v>
      </c>
      <c r="AA16" s="50">
        <f>Assumptions!$D35*'Monthly P&amp;L'!AA10</f>
        <v>202485.83545095034</v>
      </c>
      <c r="AB16" s="50">
        <f>Assumptions!$D35*'Monthly P&amp;L'!AB10</f>
        <v>225558.72373491043</v>
      </c>
      <c r="AC16" s="50">
        <f>Assumptions!$D35*'Monthly P&amp;L'!AC10</f>
        <v>232381.76971789391</v>
      </c>
      <c r="AD16" s="50">
        <f>Assumptions!$D35*'Monthly P&amp;L'!AD10</f>
        <v>245190.96135830256</v>
      </c>
      <c r="AE16" s="50">
        <f>Assumptions!$D35*'Monthly P&amp;L'!AE10</f>
        <v>239223.39430832551</v>
      </c>
      <c r="AF16" s="50">
        <f>Assumptions!$D35*'Monthly P&amp;L'!AF10</f>
        <v>280603.76014308102</v>
      </c>
      <c r="AG16" s="50">
        <f>Assumptions!$D35*'Monthly P&amp;L'!AG10</f>
        <v>272538.52907116589</v>
      </c>
      <c r="AH16" s="50">
        <f>Assumptions!$D35*'Monthly P&amp;L'!AH10</f>
        <v>273588.79560571391</v>
      </c>
      <c r="AI16" s="50">
        <f>Assumptions!$D35*'Monthly P&amp;L'!AI10</f>
        <v>306917.59991728776</v>
      </c>
      <c r="AJ16" s="50">
        <f>Assumptions!$D35*'Monthly P&amp;L'!AJ10</f>
        <v>289759.73644230788</v>
      </c>
      <c r="AK16" s="50">
        <f>Assumptions!$D35*'Monthly P&amp;L'!AK10</f>
        <v>311315.55570444203</v>
      </c>
      <c r="AL16" s="50">
        <f>Assumptions!$D35*'Monthly P&amp;L'!AL10</f>
        <v>314485.73681853083</v>
      </c>
      <c r="AM16" s="50">
        <f>Assumptions!$D35*'Monthly P&amp;L'!AM10</f>
        <v>285748.74686809228</v>
      </c>
      <c r="AN16" s="50">
        <f>Assumptions!$D35*'Monthly P&amp;L'!AN10</f>
        <v>311685.0360762722</v>
      </c>
      <c r="AO16" s="50"/>
    </row>
    <row r="17" spans="1:41" x14ac:dyDescent="0.3">
      <c r="A17" s="105" t="str">
        <f>Assumptions!A36</f>
        <v>Food Cost (% of Revenue)</v>
      </c>
      <c r="B17" s="105"/>
      <c r="C17" s="105"/>
      <c r="E17" s="50"/>
      <c r="F17" s="50"/>
      <c r="G17" s="50"/>
      <c r="H17" s="50">
        <f>Assumptions!$D36*'Monthly P&amp;L'!H11</f>
        <v>451800</v>
      </c>
      <c r="I17" s="50">
        <f>Assumptions!$D36*'Monthly P&amp;L'!I11</f>
        <v>470316</v>
      </c>
      <c r="J17" s="50">
        <f>Assumptions!$D36*'Monthly P&amp;L'!J11</f>
        <v>461232.48000000004</v>
      </c>
      <c r="K17" s="50">
        <f>Assumptions!$D36*'Monthly P&amp;L'!K11</f>
        <v>492262.18559999997</v>
      </c>
      <c r="L17" s="50">
        <f>Assumptions!$D36*'Monthly P&amp;L'!L11</f>
        <v>490571.45424000005</v>
      </c>
      <c r="M17" s="50">
        <f>Assumptions!$D36*'Monthly P&amp;L'!M11</f>
        <v>513953.39701824007</v>
      </c>
      <c r="N17" s="50">
        <f>Assumptions!$D36*'Monthly P&amp;L'!N11</f>
        <v>538935.46421003516</v>
      </c>
      <c r="O17" s="50">
        <f>Assumptions!$D36*'Monthly P&amp;L'!O11</f>
        <v>493898.47540049814</v>
      </c>
      <c r="P17" s="50">
        <f>Assumptions!$D36*'Monthly P&amp;L'!P11</f>
        <v>555820.367904588</v>
      </c>
      <c r="Q17" s="50">
        <f>Assumptions!$D36*'Monthly P&amp;L'!Q11</f>
        <v>554123.21142318123</v>
      </c>
      <c r="R17" s="50">
        <f>Assumptions!$D36*'Monthly P&amp;L'!R11</f>
        <v>601945.6227807625</v>
      </c>
      <c r="S17" s="50">
        <f>Assumptions!$D36*'Monthly P&amp;L'!S11</f>
        <v>584391.06519736291</v>
      </c>
      <c r="T17" s="50">
        <f>Assumptions!$D36*'Monthly P&amp;L'!T11</f>
        <v>658469.99429045327</v>
      </c>
      <c r="U17" s="50">
        <f>Assumptions!$D36*'Monthly P&amp;L'!U11</f>
        <v>676722.99167665851</v>
      </c>
      <c r="V17" s="50">
        <f>Assumptions!$D36*'Monthly P&amp;L'!V11</f>
        <v>664997.62037489028</v>
      </c>
      <c r="W17" s="50">
        <f>Assumptions!$D36*'Monthly P&amp;L'!W11</f>
        <v>727220.71104006947</v>
      </c>
      <c r="X17" s="50">
        <f>Assumptions!$D36*'Monthly P&amp;L'!X11</f>
        <v>701931.74046580691</v>
      </c>
      <c r="Y17" s="50">
        <f>Assumptions!$D36*'Monthly P&amp;L'!Y11</f>
        <v>741546.17570716178</v>
      </c>
      <c r="Z17" s="50">
        <f>Assumptions!$D36*'Monthly P&amp;L'!Z11</f>
        <v>791955.08398775733</v>
      </c>
      <c r="AA17" s="50">
        <f>Assumptions!$D36*'Monthly P&amp;L'!AA11</f>
        <v>719502.43351478328</v>
      </c>
      <c r="AB17" s="50">
        <f>Assumptions!$D36*'Monthly P&amp;L'!AB11</f>
        <v>804432.9866025825</v>
      </c>
      <c r="AC17" s="50">
        <f>Assumptions!$D36*'Monthly P&amp;L'!AC11</f>
        <v>822979.3303802039</v>
      </c>
      <c r="AD17" s="50">
        <f>Assumptions!$D36*'Monthly P&amp;L'!AD11</f>
        <v>869075.70678926061</v>
      </c>
      <c r="AE17" s="50">
        <f>Assumptions!$D36*'Monthly P&amp;L'!AE11</f>
        <v>850504.60489039926</v>
      </c>
      <c r="AF17" s="50">
        <f>Assumptions!$D36*'Monthly P&amp;L'!AF11</f>
        <v>988678.13659620774</v>
      </c>
      <c r="AG17" s="50">
        <f>Assumptions!$D36*'Monthly P&amp;L'!AG11</f>
        <v>969115.96201850404</v>
      </c>
      <c r="AH17" s="50">
        <f>Assumptions!$D36*'Monthly P&amp;L'!AH11</f>
        <v>970938.32064312429</v>
      </c>
      <c r="AI17" s="50">
        <f>Assumptions!$D36*'Monthly P&amp;L'!AI11</f>
        <v>1079415.4379480355</v>
      </c>
      <c r="AJ17" s="50">
        <f>Assumptions!$D36*'Monthly P&amp;L'!AJ11</f>
        <v>1027089.7442894827</v>
      </c>
      <c r="AK17" s="50">
        <f>Assumptions!$D36*'Monthly P&amp;L'!AK11</f>
        <v>1100456.4588916574</v>
      </c>
      <c r="AL17" s="50">
        <f>Assumptions!$D36*'Monthly P&amp;L'!AL11</f>
        <v>1112344.6380694907</v>
      </c>
      <c r="AM17" s="50">
        <f>Assumptions!$D36*'Monthly P&amp;L'!AM11</f>
        <v>1012022.8007553458</v>
      </c>
      <c r="AN17" s="50">
        <f>Assumptions!$D36*'Monthly P&amp;L'!AN11</f>
        <v>1109283.8852860208</v>
      </c>
      <c r="AO17" s="50"/>
    </row>
    <row r="18" spans="1:41" x14ac:dyDescent="0.3">
      <c r="A18" t="s">
        <v>107</v>
      </c>
      <c r="E18" s="50"/>
      <c r="F18" s="50"/>
      <c r="G18" s="50"/>
      <c r="H18" s="50">
        <f>Assumptions!D50</f>
        <v>986000</v>
      </c>
      <c r="I18" s="50">
        <f>H18</f>
        <v>986000</v>
      </c>
      <c r="J18" s="50">
        <f t="shared" ref="J18:S18" si="2">I18</f>
        <v>986000</v>
      </c>
      <c r="K18" s="50">
        <f t="shared" si="2"/>
        <v>986000</v>
      </c>
      <c r="L18" s="50">
        <f t="shared" si="2"/>
        <v>986000</v>
      </c>
      <c r="M18" s="50">
        <f t="shared" si="2"/>
        <v>986000</v>
      </c>
      <c r="N18" s="50">
        <f t="shared" si="2"/>
        <v>986000</v>
      </c>
      <c r="O18" s="50">
        <f t="shared" si="2"/>
        <v>986000</v>
      </c>
      <c r="P18" s="50">
        <f t="shared" si="2"/>
        <v>986000</v>
      </c>
      <c r="Q18" s="50">
        <f t="shared" si="2"/>
        <v>986000</v>
      </c>
      <c r="R18" s="50">
        <f t="shared" si="2"/>
        <v>986000</v>
      </c>
      <c r="S18" s="50">
        <f t="shared" si="2"/>
        <v>986000</v>
      </c>
      <c r="T18" s="50">
        <f>S18*(1+Assumptions!$B$52)</f>
        <v>1104320</v>
      </c>
      <c r="U18" s="50">
        <f>T18</f>
        <v>1104320</v>
      </c>
      <c r="V18" s="50">
        <f t="shared" ref="V18:AE18" si="3">U18</f>
        <v>1104320</v>
      </c>
      <c r="W18" s="50">
        <f t="shared" si="3"/>
        <v>1104320</v>
      </c>
      <c r="X18" s="50">
        <f t="shared" si="3"/>
        <v>1104320</v>
      </c>
      <c r="Y18" s="50">
        <f t="shared" si="3"/>
        <v>1104320</v>
      </c>
      <c r="Z18" s="50">
        <f t="shared" si="3"/>
        <v>1104320</v>
      </c>
      <c r="AA18" s="50">
        <f t="shared" si="3"/>
        <v>1104320</v>
      </c>
      <c r="AB18" s="50">
        <f t="shared" si="3"/>
        <v>1104320</v>
      </c>
      <c r="AC18" s="50">
        <f t="shared" si="3"/>
        <v>1104320</v>
      </c>
      <c r="AD18" s="50">
        <f t="shared" si="3"/>
        <v>1104320</v>
      </c>
      <c r="AE18" s="50">
        <f t="shared" si="3"/>
        <v>1104320</v>
      </c>
      <c r="AF18" s="50">
        <f>AE18*(1+Assumptions!$B$52)</f>
        <v>1236838.4000000001</v>
      </c>
      <c r="AG18" s="50">
        <f>AF18</f>
        <v>1236838.4000000001</v>
      </c>
      <c r="AH18" s="50">
        <f t="shared" ref="AH18:AN18" si="4">AG18</f>
        <v>1236838.4000000001</v>
      </c>
      <c r="AI18" s="50">
        <f t="shared" si="4"/>
        <v>1236838.4000000001</v>
      </c>
      <c r="AJ18" s="50">
        <f t="shared" si="4"/>
        <v>1236838.4000000001</v>
      </c>
      <c r="AK18" s="50">
        <f t="shared" si="4"/>
        <v>1236838.4000000001</v>
      </c>
      <c r="AL18" s="50">
        <f t="shared" si="4"/>
        <v>1236838.4000000001</v>
      </c>
      <c r="AM18" s="50">
        <f t="shared" si="4"/>
        <v>1236838.4000000001</v>
      </c>
      <c r="AN18" s="50">
        <f t="shared" si="4"/>
        <v>1236838.4000000001</v>
      </c>
      <c r="AO18" s="50"/>
    </row>
    <row r="19" spans="1:41" s="59" customFormat="1" x14ac:dyDescent="0.3">
      <c r="A19" s="59" t="s">
        <v>106</v>
      </c>
      <c r="H19" s="60">
        <f>SUM(H15:H18)</f>
        <v>1786100</v>
      </c>
      <c r="I19" s="60">
        <f t="shared" ref="I19:AN19" si="5">SUM(I15:I18)</f>
        <v>1829224.4</v>
      </c>
      <c r="J19" s="60">
        <f t="shared" si="5"/>
        <v>1805226.8</v>
      </c>
      <c r="K19" s="60">
        <f t="shared" si="5"/>
        <v>1864773.6655999999</v>
      </c>
      <c r="L19" s="60">
        <f t="shared" si="5"/>
        <v>1863948.3875744001</v>
      </c>
      <c r="M19" s="60">
        <f t="shared" si="5"/>
        <v>1899323.7319114881</v>
      </c>
      <c r="N19" s="60">
        <f t="shared" si="5"/>
        <v>1955921.1584823565</v>
      </c>
      <c r="O19" s="60">
        <f t="shared" si="5"/>
        <v>1869540.1146042286</v>
      </c>
      <c r="P19" s="60">
        <f t="shared" si="5"/>
        <v>1975830.5191878891</v>
      </c>
      <c r="Q19" s="60">
        <f t="shared" si="5"/>
        <v>1975158.9623316331</v>
      </c>
      <c r="R19" s="60">
        <f t="shared" si="5"/>
        <v>2072661.2960274389</v>
      </c>
      <c r="S19" s="60">
        <f t="shared" si="5"/>
        <v>2030721.6888423876</v>
      </c>
      <c r="T19" s="60">
        <f t="shared" si="5"/>
        <v>2287722.0550000719</v>
      </c>
      <c r="U19" s="60">
        <f t="shared" si="5"/>
        <v>2321452.8957950543</v>
      </c>
      <c r="V19" s="60">
        <f t="shared" si="5"/>
        <v>2295794.6201154524</v>
      </c>
      <c r="W19" s="60">
        <f t="shared" si="5"/>
        <v>2422254.8859844343</v>
      </c>
      <c r="X19" s="60">
        <f t="shared" si="5"/>
        <v>2363859.8692118386</v>
      </c>
      <c r="Y19" s="60">
        <f t="shared" si="5"/>
        <v>2433653.9991802843</v>
      </c>
      <c r="Z19" s="60">
        <f t="shared" si="5"/>
        <v>2542953.0533038871</v>
      </c>
      <c r="AA19" s="60">
        <f t="shared" si="5"/>
        <v>2403221.7264684299</v>
      </c>
      <c r="AB19" s="60">
        <f t="shared" si="5"/>
        <v>2549657.0406322517</v>
      </c>
      <c r="AC19" s="60">
        <f t="shared" si="5"/>
        <v>2596467.7673369329</v>
      </c>
      <c r="AD19" s="60">
        <f t="shared" si="5"/>
        <v>2678325.7547087553</v>
      </c>
      <c r="AE19" s="60">
        <f t="shared" si="5"/>
        <v>2638638.9503843486</v>
      </c>
      <c r="AF19" s="60">
        <f t="shared" si="5"/>
        <v>3041336.501215308</v>
      </c>
      <c r="AG19" s="60">
        <f t="shared" si="5"/>
        <v>2984743.1513736043</v>
      </c>
      <c r="AH19" s="60">
        <f t="shared" si="5"/>
        <v>2992499.9401054252</v>
      </c>
      <c r="AI19" s="60">
        <f t="shared" si="5"/>
        <v>3211610.1646167655</v>
      </c>
      <c r="AJ19" s="60">
        <f t="shared" si="5"/>
        <v>3096932.1197601468</v>
      </c>
      <c r="AK19" s="60">
        <f t="shared" si="5"/>
        <v>3237928.2705046586</v>
      </c>
      <c r="AL19" s="60">
        <f t="shared" si="5"/>
        <v>3257931.4241647515</v>
      </c>
      <c r="AM19" s="60">
        <f t="shared" si="5"/>
        <v>3072523.2212709514</v>
      </c>
      <c r="AN19" s="60">
        <f t="shared" si="5"/>
        <v>3236175.5678508263</v>
      </c>
    </row>
    <row r="20" spans="1:41" x14ac:dyDescent="0.3"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</row>
    <row r="21" spans="1:41" x14ac:dyDescent="0.3">
      <c r="A21" s="1" t="s">
        <v>108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</row>
    <row r="22" spans="1:41" x14ac:dyDescent="0.3">
      <c r="A22" t="s">
        <v>109</v>
      </c>
      <c r="E22" s="50"/>
      <c r="F22" s="50"/>
      <c r="G22" s="50"/>
      <c r="H22" s="50">
        <f>Assumptions!D63</f>
        <v>380000</v>
      </c>
      <c r="I22" s="50">
        <f>H22</f>
        <v>380000</v>
      </c>
      <c r="J22" s="50">
        <f t="shared" ref="J22:S22" si="6">I22</f>
        <v>380000</v>
      </c>
      <c r="K22" s="50">
        <f t="shared" si="6"/>
        <v>380000</v>
      </c>
      <c r="L22" s="50">
        <f t="shared" si="6"/>
        <v>380000</v>
      </c>
      <c r="M22" s="50">
        <f t="shared" si="6"/>
        <v>380000</v>
      </c>
      <c r="N22" s="50">
        <f t="shared" si="6"/>
        <v>380000</v>
      </c>
      <c r="O22" s="50">
        <f t="shared" si="6"/>
        <v>380000</v>
      </c>
      <c r="P22" s="50">
        <f t="shared" si="6"/>
        <v>380000</v>
      </c>
      <c r="Q22" s="50">
        <f t="shared" si="6"/>
        <v>380000</v>
      </c>
      <c r="R22" s="50">
        <f t="shared" si="6"/>
        <v>380000</v>
      </c>
      <c r="S22" s="50">
        <f t="shared" si="6"/>
        <v>380000</v>
      </c>
      <c r="T22" s="50">
        <f>S22*(1+Assumptions!$C$76)</f>
        <v>436999.99999999994</v>
      </c>
      <c r="U22" s="50">
        <f>T22</f>
        <v>436999.99999999994</v>
      </c>
      <c r="V22" s="50">
        <f t="shared" ref="V22:AE22" si="7">U22</f>
        <v>436999.99999999994</v>
      </c>
      <c r="W22" s="50">
        <f t="shared" si="7"/>
        <v>436999.99999999994</v>
      </c>
      <c r="X22" s="50">
        <f t="shared" si="7"/>
        <v>436999.99999999994</v>
      </c>
      <c r="Y22" s="50">
        <f t="shared" si="7"/>
        <v>436999.99999999994</v>
      </c>
      <c r="Z22" s="50">
        <f t="shared" si="7"/>
        <v>436999.99999999994</v>
      </c>
      <c r="AA22" s="50">
        <f t="shared" si="7"/>
        <v>436999.99999999994</v>
      </c>
      <c r="AB22" s="50">
        <f t="shared" si="7"/>
        <v>436999.99999999994</v>
      </c>
      <c r="AC22" s="50">
        <f t="shared" si="7"/>
        <v>436999.99999999994</v>
      </c>
      <c r="AD22" s="50">
        <f t="shared" si="7"/>
        <v>436999.99999999994</v>
      </c>
      <c r="AE22" s="50">
        <f t="shared" si="7"/>
        <v>436999.99999999994</v>
      </c>
      <c r="AF22" s="50">
        <f>AE22*(1+Assumptions!$C$76)</f>
        <v>502549.99999999988</v>
      </c>
      <c r="AG22" s="50">
        <f>AF22</f>
        <v>502549.99999999988</v>
      </c>
      <c r="AH22" s="50">
        <f t="shared" ref="AH22:AN22" si="8">AG22</f>
        <v>502549.99999999988</v>
      </c>
      <c r="AI22" s="50">
        <f t="shared" si="8"/>
        <v>502549.99999999988</v>
      </c>
      <c r="AJ22" s="50">
        <f t="shared" si="8"/>
        <v>502549.99999999988</v>
      </c>
      <c r="AK22" s="50">
        <f t="shared" si="8"/>
        <v>502549.99999999988</v>
      </c>
      <c r="AL22" s="50">
        <f t="shared" si="8"/>
        <v>502549.99999999988</v>
      </c>
      <c r="AM22" s="50">
        <f t="shared" si="8"/>
        <v>502549.99999999988</v>
      </c>
      <c r="AN22" s="50">
        <f t="shared" si="8"/>
        <v>502549.99999999988</v>
      </c>
      <c r="AO22" s="50"/>
    </row>
    <row r="23" spans="1:41" x14ac:dyDescent="0.3">
      <c r="A23" t="str">
        <f>Assumptions!A65</f>
        <v>Royalty to Brand (% of Revenue)</v>
      </c>
      <c r="E23" s="50"/>
      <c r="F23" s="50"/>
      <c r="G23" s="50"/>
      <c r="H23" s="50">
        <f>Assumptions!$D$65*'Monthly P&amp;L'!H12</f>
        <v>122820</v>
      </c>
      <c r="I23" s="50">
        <f>Assumptions!$D$65*'Monthly P&amp;L'!I12</f>
        <v>129307.6</v>
      </c>
      <c r="J23" s="50">
        <f>Assumptions!$D$65*'Monthly P&amp;L'!J12</f>
        <v>125725.07200000003</v>
      </c>
      <c r="K23" s="50">
        <f>Assumptions!$D$65*'Monthly P&amp;L'!K12</f>
        <v>134807.04864000002</v>
      </c>
      <c r="L23" s="50">
        <f>Assumptions!$D$65*'Monthly P&amp;L'!L12</f>
        <v>134652.6086112</v>
      </c>
      <c r="M23" s="50">
        <f>Assumptions!$D$65*'Monthly P&amp;L'!M12</f>
        <v>140160.12282464001</v>
      </c>
      <c r="N23" s="50">
        <f>Assumptions!$D$65*'Monthly P&amp;L'!N12</f>
        <v>148690.03301616511</v>
      </c>
      <c r="O23" s="50">
        <f>Assumptions!$D$65*'Monthly P&amp;L'!O12</f>
        <v>135514.81222715529</v>
      </c>
      <c r="P23" s="50">
        <f>Assumptions!$D$65*'Monthly P&amp;L'!P12</f>
        <v>151874.10859213208</v>
      </c>
      <c r="Q23" s="50">
        <f>Assumptions!$D$65*'Monthly P&amp;L'!Q12</f>
        <v>151741.15287151493</v>
      </c>
      <c r="R23" s="50">
        <f>Assumptions!$D$65*'Monthly P&amp;L'!R12</f>
        <v>166544.36131207409</v>
      </c>
      <c r="S23" s="50">
        <f>Assumptions!$D$65*'Monthly P&amp;L'!S12</f>
        <v>160245.26072879721</v>
      </c>
      <c r="T23" s="50">
        <f>Assumptions!$D$65*'Monthly P&amp;L'!T12</f>
        <v>181437.61752198421</v>
      </c>
      <c r="U23" s="50">
        <f>Assumptions!$D$65*'Monthly P&amp;L'!U12</f>
        <v>186597.50102432893</v>
      </c>
      <c r="V23" s="50">
        <f>Assumptions!$D$65*'Monthly P&amp;L'!V12</f>
        <v>182721.43047668305</v>
      </c>
      <c r="W23" s="50">
        <f>Assumptions!$D$65*'Monthly P&amp;L'!W12</f>
        <v>201925.62920655098</v>
      </c>
      <c r="X23" s="50">
        <f>Assumptions!$D$65*'Monthly P&amp;L'!X12</f>
        <v>193135.82710797212</v>
      </c>
      <c r="Y23" s="50">
        <f>Assumptions!$D$65*'Monthly P&amp;L'!Y12</f>
        <v>203854.23504224364</v>
      </c>
      <c r="Z23" s="50">
        <f>Assumptions!$D$65*'Monthly P&amp;L'!Z12</f>
        <v>220375.96199948492</v>
      </c>
      <c r="AA23" s="50">
        <f>Assumptions!$D$65*'Monthly P&amp;L'!AA12</f>
        <v>199072.58132707502</v>
      </c>
      <c r="AB23" s="50">
        <f>Assumptions!$D$65*'Monthly P&amp;L'!AB12</f>
        <v>221602.05208559311</v>
      </c>
      <c r="AC23" s="50">
        <f>Assumptions!$D$65*'Monthly P&amp;L'!AC12</f>
        <v>228609.03826460429</v>
      </c>
      <c r="AD23" s="50">
        <f>Assumptions!$D$65*'Monthly P&amp;L'!AD12</f>
        <v>241171.83366721586</v>
      </c>
      <c r="AE23" s="50">
        <f>Assumptions!$D$65*'Monthly P&amp;L'!AE12</f>
        <v>235166.68479679164</v>
      </c>
      <c r="AF23" s="50">
        <f>Assumptions!$D$65*'Monthly P&amp;L'!AF12</f>
        <v>276314.61723287491</v>
      </c>
      <c r="AG23" s="50">
        <f>Assumptions!$D$65*'Monthly P&amp;L'!AG12</f>
        <v>267908.10889182752</v>
      </c>
      <c r="AH23" s="50">
        <f>Assumptions!$D$65*'Monthly P&amp;L'!AH12</f>
        <v>269040.85629931884</v>
      </c>
      <c r="AI23" s="50">
        <f>Assumptions!$D$65*'Monthly P&amp;L'!AI12</f>
        <v>302329.94823120628</v>
      </c>
      <c r="AJ23" s="50">
        <f>Assumptions!$D$65*'Monthly P&amp;L'!AJ12</f>
        <v>285007.91096472938</v>
      </c>
      <c r="AK23" s="50">
        <f>Assumptions!$D$65*'Monthly P&amp;L'!AK12</f>
        <v>306512.11940812564</v>
      </c>
      <c r="AL23" s="50">
        <f>Assumptions!$D$65*'Monthly P&amp;L'!AL12</f>
        <v>309596.15429628821</v>
      </c>
      <c r="AM23" s="50">
        <f>Assumptions!$D$65*'Monthly P&amp;L'!AM12</f>
        <v>281233.81352928537</v>
      </c>
      <c r="AN23" s="50">
        <f>Assumptions!$D$65*'Monthly P&amp;L'!AN12</f>
        <v>306465.31226985174</v>
      </c>
      <c r="AO23" s="50"/>
    </row>
    <row r="24" spans="1:41" x14ac:dyDescent="0.3">
      <c r="A24" t="str">
        <f>Assumptions!A66</f>
        <v>Rent (% of Revenue)</v>
      </c>
      <c r="E24" s="50"/>
      <c r="F24" s="50"/>
      <c r="G24" s="50"/>
      <c r="H24" s="50">
        <f>Assumptions!$D$66*'Monthly P&amp;L'!H12</f>
        <v>245640</v>
      </c>
      <c r="I24" s="50">
        <f>Assumptions!$D$66*'Monthly P&amp;L'!I12</f>
        <v>258615.2</v>
      </c>
      <c r="J24" s="50">
        <f>Assumptions!$D$66*'Monthly P&amp;L'!J12</f>
        <v>251450.14400000006</v>
      </c>
      <c r="K24" s="50">
        <f>Assumptions!$D$66*'Monthly P&amp;L'!K12</f>
        <v>269614.09728000005</v>
      </c>
      <c r="L24" s="50">
        <f>Assumptions!$D$66*'Monthly P&amp;L'!L12</f>
        <v>269305.21722240001</v>
      </c>
      <c r="M24" s="50">
        <f>Assumptions!$D$66*'Monthly P&amp;L'!M12</f>
        <v>280320.24564928003</v>
      </c>
      <c r="N24" s="50">
        <f>Assumptions!$D$66*'Monthly P&amp;L'!N12</f>
        <v>297380.06603233021</v>
      </c>
      <c r="O24" s="50">
        <f>Assumptions!$D$66*'Monthly P&amp;L'!O12</f>
        <v>271029.62445431057</v>
      </c>
      <c r="P24" s="50">
        <f>Assumptions!$D$66*'Monthly P&amp;L'!P12</f>
        <v>303748.21718426415</v>
      </c>
      <c r="Q24" s="50">
        <f>Assumptions!$D$66*'Monthly P&amp;L'!Q12</f>
        <v>303482.30574302986</v>
      </c>
      <c r="R24" s="50">
        <f>Assumptions!$D$66*'Monthly P&amp;L'!R12</f>
        <v>333088.72262414818</v>
      </c>
      <c r="S24" s="50">
        <f>Assumptions!$D$66*'Monthly P&amp;L'!S12</f>
        <v>320490.52145759441</v>
      </c>
      <c r="T24" s="50">
        <f>Assumptions!$D$66*'Monthly P&amp;L'!T12</f>
        <v>362875.23504396842</v>
      </c>
      <c r="U24" s="50">
        <f>Assumptions!$D$66*'Monthly P&amp;L'!U12</f>
        <v>373195.00204865786</v>
      </c>
      <c r="V24" s="50">
        <f>Assumptions!$D$66*'Monthly P&amp;L'!V12</f>
        <v>365442.86095336609</v>
      </c>
      <c r="W24" s="50">
        <f>Assumptions!$D$66*'Monthly P&amp;L'!W12</f>
        <v>403851.25841310195</v>
      </c>
      <c r="X24" s="50">
        <f>Assumptions!$D$66*'Monthly P&amp;L'!X12</f>
        <v>386271.65421594423</v>
      </c>
      <c r="Y24" s="50">
        <f>Assumptions!$D$66*'Monthly P&amp;L'!Y12</f>
        <v>407708.47008448729</v>
      </c>
      <c r="Z24" s="50">
        <f>Assumptions!$D$66*'Monthly P&amp;L'!Z12</f>
        <v>440751.92399896984</v>
      </c>
      <c r="AA24" s="50">
        <f>Assumptions!$D$66*'Monthly P&amp;L'!AA12</f>
        <v>398145.16265415004</v>
      </c>
      <c r="AB24" s="50">
        <f>Assumptions!$D$66*'Monthly P&amp;L'!AB12</f>
        <v>443204.10417118622</v>
      </c>
      <c r="AC24" s="50">
        <f>Assumptions!$D$66*'Monthly P&amp;L'!AC12</f>
        <v>457218.07652920857</v>
      </c>
      <c r="AD24" s="50">
        <f>Assumptions!$D$66*'Monthly P&amp;L'!AD12</f>
        <v>482343.66733443172</v>
      </c>
      <c r="AE24" s="50">
        <f>Assumptions!$D$66*'Monthly P&amp;L'!AE12</f>
        <v>470333.36959358328</v>
      </c>
      <c r="AF24" s="50">
        <f>Assumptions!$D$66*'Monthly P&amp;L'!AF12</f>
        <v>552629.23446574982</v>
      </c>
      <c r="AG24" s="50">
        <f>Assumptions!$D$66*'Monthly P&amp;L'!AG12</f>
        <v>535816.21778365504</v>
      </c>
      <c r="AH24" s="50">
        <f>Assumptions!$D$66*'Monthly P&amp;L'!AH12</f>
        <v>538081.71259863768</v>
      </c>
      <c r="AI24" s="50">
        <f>Assumptions!$D$66*'Monthly P&amp;L'!AI12</f>
        <v>604659.89646241255</v>
      </c>
      <c r="AJ24" s="50">
        <f>Assumptions!$D$66*'Monthly P&amp;L'!AJ12</f>
        <v>570015.82192945876</v>
      </c>
      <c r="AK24" s="50">
        <f>Assumptions!$D$66*'Monthly P&amp;L'!AK12</f>
        <v>613024.23881625128</v>
      </c>
      <c r="AL24" s="50">
        <f>Assumptions!$D$66*'Monthly P&amp;L'!AL12</f>
        <v>619192.30859257642</v>
      </c>
      <c r="AM24" s="50">
        <f>Assumptions!$D$66*'Monthly P&amp;L'!AM12</f>
        <v>562467.62705857074</v>
      </c>
      <c r="AN24" s="50">
        <f>Assumptions!$D$66*'Monthly P&amp;L'!AN12</f>
        <v>612930.62453970348</v>
      </c>
      <c r="AO24" s="50"/>
    </row>
    <row r="25" spans="1:41" x14ac:dyDescent="0.3">
      <c r="A25" t="str">
        <f>Assumptions!A67</f>
        <v>Water Cost/M</v>
      </c>
      <c r="E25" s="50"/>
      <c r="F25" s="50"/>
      <c r="G25" s="50"/>
      <c r="H25" s="50">
        <f>Assumptions!D67</f>
        <v>10000</v>
      </c>
      <c r="I25" s="50">
        <f>H25</f>
        <v>10000</v>
      </c>
      <c r="J25" s="50">
        <f t="shared" ref="J25:S25" si="9">I25</f>
        <v>10000</v>
      </c>
      <c r="K25" s="50">
        <f t="shared" si="9"/>
        <v>10000</v>
      </c>
      <c r="L25" s="50">
        <f t="shared" si="9"/>
        <v>10000</v>
      </c>
      <c r="M25" s="50">
        <f t="shared" si="9"/>
        <v>10000</v>
      </c>
      <c r="N25" s="50">
        <f t="shared" si="9"/>
        <v>10000</v>
      </c>
      <c r="O25" s="50">
        <f t="shared" si="9"/>
        <v>10000</v>
      </c>
      <c r="P25" s="50">
        <f t="shared" si="9"/>
        <v>10000</v>
      </c>
      <c r="Q25" s="50">
        <f t="shared" si="9"/>
        <v>10000</v>
      </c>
      <c r="R25" s="50">
        <f t="shared" si="9"/>
        <v>10000</v>
      </c>
      <c r="S25" s="50">
        <f t="shared" si="9"/>
        <v>10000</v>
      </c>
      <c r="T25" s="50">
        <f>S25*(1+Assumptions!$C$76)</f>
        <v>11500</v>
      </c>
      <c r="U25" s="50">
        <f>T25</f>
        <v>11500</v>
      </c>
      <c r="V25" s="50">
        <f t="shared" ref="V25:AE25" si="10">U25</f>
        <v>11500</v>
      </c>
      <c r="W25" s="50">
        <f t="shared" si="10"/>
        <v>11500</v>
      </c>
      <c r="X25" s="50">
        <f t="shared" si="10"/>
        <v>11500</v>
      </c>
      <c r="Y25" s="50">
        <f t="shared" si="10"/>
        <v>11500</v>
      </c>
      <c r="Z25" s="50">
        <f t="shared" si="10"/>
        <v>11500</v>
      </c>
      <c r="AA25" s="50">
        <f t="shared" si="10"/>
        <v>11500</v>
      </c>
      <c r="AB25" s="50">
        <f t="shared" si="10"/>
        <v>11500</v>
      </c>
      <c r="AC25" s="50">
        <f t="shared" si="10"/>
        <v>11500</v>
      </c>
      <c r="AD25" s="50">
        <f t="shared" si="10"/>
        <v>11500</v>
      </c>
      <c r="AE25" s="50">
        <f t="shared" si="10"/>
        <v>11500</v>
      </c>
      <c r="AF25" s="50">
        <f>AE25*(1+Assumptions!$C$76)</f>
        <v>13224.999999999998</v>
      </c>
      <c r="AG25" s="50">
        <f>AF25</f>
        <v>13224.999999999998</v>
      </c>
      <c r="AH25" s="50">
        <f t="shared" ref="AH25:AN25" si="11">AG25</f>
        <v>13224.999999999998</v>
      </c>
      <c r="AI25" s="50">
        <f t="shared" si="11"/>
        <v>13224.999999999998</v>
      </c>
      <c r="AJ25" s="50">
        <f t="shared" si="11"/>
        <v>13224.999999999998</v>
      </c>
      <c r="AK25" s="50">
        <f t="shared" si="11"/>
        <v>13224.999999999998</v>
      </c>
      <c r="AL25" s="50">
        <f t="shared" si="11"/>
        <v>13224.999999999998</v>
      </c>
      <c r="AM25" s="50">
        <f t="shared" si="11"/>
        <v>13224.999999999998</v>
      </c>
      <c r="AN25" s="50">
        <f t="shared" si="11"/>
        <v>13224.999999999998</v>
      </c>
      <c r="AO25" s="50"/>
    </row>
    <row r="26" spans="1:41" x14ac:dyDescent="0.3">
      <c r="A26" t="str">
        <f>Assumptions!A68</f>
        <v>Maintenance/M</v>
      </c>
      <c r="E26" s="50"/>
      <c r="F26" s="50"/>
      <c r="G26" s="50"/>
      <c r="H26" s="50">
        <f>Assumptions!D68</f>
        <v>50000</v>
      </c>
      <c r="I26" s="50">
        <f t="shared" ref="I26:S27" si="12">H26</f>
        <v>50000</v>
      </c>
      <c r="J26" s="50">
        <f t="shared" si="12"/>
        <v>50000</v>
      </c>
      <c r="K26" s="50">
        <f t="shared" si="12"/>
        <v>50000</v>
      </c>
      <c r="L26" s="50">
        <f t="shared" si="12"/>
        <v>50000</v>
      </c>
      <c r="M26" s="50">
        <f t="shared" si="12"/>
        <v>50000</v>
      </c>
      <c r="N26" s="50">
        <f t="shared" si="12"/>
        <v>50000</v>
      </c>
      <c r="O26" s="50">
        <f t="shared" si="12"/>
        <v>50000</v>
      </c>
      <c r="P26" s="50">
        <f t="shared" si="12"/>
        <v>50000</v>
      </c>
      <c r="Q26" s="50">
        <f t="shared" si="12"/>
        <v>50000</v>
      </c>
      <c r="R26" s="50">
        <f t="shared" si="12"/>
        <v>50000</v>
      </c>
      <c r="S26" s="50">
        <f t="shared" si="12"/>
        <v>50000</v>
      </c>
      <c r="T26" s="50">
        <f>S26*(1+Assumptions!$C$76)</f>
        <v>57499.999999999993</v>
      </c>
      <c r="U26" s="50">
        <f t="shared" ref="U26:AE27" si="13">T26</f>
        <v>57499.999999999993</v>
      </c>
      <c r="V26" s="50">
        <f t="shared" si="13"/>
        <v>57499.999999999993</v>
      </c>
      <c r="W26" s="50">
        <f t="shared" si="13"/>
        <v>57499.999999999993</v>
      </c>
      <c r="X26" s="50">
        <f t="shared" si="13"/>
        <v>57499.999999999993</v>
      </c>
      <c r="Y26" s="50">
        <f t="shared" si="13"/>
        <v>57499.999999999993</v>
      </c>
      <c r="Z26" s="50">
        <f t="shared" si="13"/>
        <v>57499.999999999993</v>
      </c>
      <c r="AA26" s="50">
        <f t="shared" si="13"/>
        <v>57499.999999999993</v>
      </c>
      <c r="AB26" s="50">
        <f t="shared" si="13"/>
        <v>57499.999999999993</v>
      </c>
      <c r="AC26" s="50">
        <f t="shared" si="13"/>
        <v>57499.999999999993</v>
      </c>
      <c r="AD26" s="50">
        <f t="shared" si="13"/>
        <v>57499.999999999993</v>
      </c>
      <c r="AE26" s="50">
        <f t="shared" si="13"/>
        <v>57499.999999999993</v>
      </c>
      <c r="AF26" s="50">
        <f>AE26*(1+Assumptions!$C$76)</f>
        <v>66124.999999999985</v>
      </c>
      <c r="AG26" s="50">
        <f t="shared" ref="AG26:AN27" si="14">AF26</f>
        <v>66124.999999999985</v>
      </c>
      <c r="AH26" s="50">
        <f t="shared" si="14"/>
        <v>66124.999999999985</v>
      </c>
      <c r="AI26" s="50">
        <f t="shared" si="14"/>
        <v>66124.999999999985</v>
      </c>
      <c r="AJ26" s="50">
        <f t="shared" si="14"/>
        <v>66124.999999999985</v>
      </c>
      <c r="AK26" s="50">
        <f t="shared" si="14"/>
        <v>66124.999999999985</v>
      </c>
      <c r="AL26" s="50">
        <f t="shared" si="14"/>
        <v>66124.999999999985</v>
      </c>
      <c r="AM26" s="50">
        <f t="shared" si="14"/>
        <v>66124.999999999985</v>
      </c>
      <c r="AN26" s="50">
        <f t="shared" si="14"/>
        <v>66124.999999999985</v>
      </c>
      <c r="AO26" s="50"/>
    </row>
    <row r="27" spans="1:41" x14ac:dyDescent="0.3">
      <c r="A27" t="str">
        <f>Assumptions!A69</f>
        <v>Marketing Cost/M</v>
      </c>
      <c r="E27" s="50"/>
      <c r="F27" s="50"/>
      <c r="G27" s="50"/>
      <c r="H27" s="50">
        <f>Assumptions!D69</f>
        <v>25000</v>
      </c>
      <c r="I27" s="50">
        <f t="shared" si="12"/>
        <v>25000</v>
      </c>
      <c r="J27" s="50">
        <f t="shared" si="12"/>
        <v>25000</v>
      </c>
      <c r="K27" s="50">
        <f t="shared" si="12"/>
        <v>25000</v>
      </c>
      <c r="L27" s="50">
        <f t="shared" si="12"/>
        <v>25000</v>
      </c>
      <c r="M27" s="50">
        <f t="shared" si="12"/>
        <v>25000</v>
      </c>
      <c r="N27" s="50">
        <f t="shared" si="12"/>
        <v>25000</v>
      </c>
      <c r="O27" s="50">
        <f t="shared" si="12"/>
        <v>25000</v>
      </c>
      <c r="P27" s="50">
        <f t="shared" si="12"/>
        <v>25000</v>
      </c>
      <c r="Q27" s="50">
        <f t="shared" si="12"/>
        <v>25000</v>
      </c>
      <c r="R27" s="50">
        <f t="shared" si="12"/>
        <v>25000</v>
      </c>
      <c r="S27" s="50">
        <f t="shared" si="12"/>
        <v>25000</v>
      </c>
      <c r="T27" s="50">
        <f>S27*(1+Assumptions!$C$76)</f>
        <v>28749.999999999996</v>
      </c>
      <c r="U27" s="50">
        <f t="shared" si="13"/>
        <v>28749.999999999996</v>
      </c>
      <c r="V27" s="50">
        <f t="shared" si="13"/>
        <v>28749.999999999996</v>
      </c>
      <c r="W27" s="50">
        <f t="shared" si="13"/>
        <v>28749.999999999996</v>
      </c>
      <c r="X27" s="50">
        <f t="shared" si="13"/>
        <v>28749.999999999996</v>
      </c>
      <c r="Y27" s="50">
        <f t="shared" si="13"/>
        <v>28749.999999999996</v>
      </c>
      <c r="Z27" s="50">
        <f t="shared" si="13"/>
        <v>28749.999999999996</v>
      </c>
      <c r="AA27" s="50">
        <f t="shared" si="13"/>
        <v>28749.999999999996</v>
      </c>
      <c r="AB27" s="50">
        <f t="shared" si="13"/>
        <v>28749.999999999996</v>
      </c>
      <c r="AC27" s="50">
        <f t="shared" si="13"/>
        <v>28749.999999999996</v>
      </c>
      <c r="AD27" s="50">
        <f t="shared" si="13"/>
        <v>28749.999999999996</v>
      </c>
      <c r="AE27" s="50">
        <f t="shared" si="13"/>
        <v>28749.999999999996</v>
      </c>
      <c r="AF27" s="50">
        <f>AE27*(1+Assumptions!$C$76)</f>
        <v>33062.499999999993</v>
      </c>
      <c r="AG27" s="50">
        <f t="shared" si="14"/>
        <v>33062.499999999993</v>
      </c>
      <c r="AH27" s="50">
        <f t="shared" si="14"/>
        <v>33062.499999999993</v>
      </c>
      <c r="AI27" s="50">
        <f t="shared" si="14"/>
        <v>33062.499999999993</v>
      </c>
      <c r="AJ27" s="50">
        <f t="shared" si="14"/>
        <v>33062.499999999993</v>
      </c>
      <c r="AK27" s="50">
        <f t="shared" si="14"/>
        <v>33062.499999999993</v>
      </c>
      <c r="AL27" s="50">
        <f t="shared" si="14"/>
        <v>33062.499999999993</v>
      </c>
      <c r="AM27" s="50">
        <f t="shared" si="14"/>
        <v>33062.499999999993</v>
      </c>
      <c r="AN27" s="50">
        <f t="shared" si="14"/>
        <v>33062.499999999993</v>
      </c>
      <c r="AO27" s="50"/>
    </row>
    <row r="28" spans="1:41" x14ac:dyDescent="0.3">
      <c r="A28" s="105" t="str">
        <f>Assumptions!A70</f>
        <v>Electricity (Based on Area $/sq. Ft)</v>
      </c>
      <c r="B28" s="105"/>
      <c r="C28" s="105"/>
      <c r="D28" s="105"/>
      <c r="E28" s="50"/>
      <c r="F28" s="50"/>
      <c r="G28" s="50"/>
      <c r="H28" s="50">
        <f>Assumptions!$D$70*Assumptions!$C$82</f>
        <v>26600</v>
      </c>
      <c r="I28" s="50">
        <f>Assumptions!$D$70*Assumptions!$C$82</f>
        <v>26600</v>
      </c>
      <c r="J28" s="50">
        <f>Assumptions!$D$70*Assumptions!$C$82</f>
        <v>26600</v>
      </c>
      <c r="K28" s="50">
        <f>Assumptions!$D$70*Assumptions!$C$82</f>
        <v>26600</v>
      </c>
      <c r="L28" s="50">
        <f>Assumptions!$D$70*Assumptions!$C$82</f>
        <v>26600</v>
      </c>
      <c r="M28" s="50">
        <f>Assumptions!$D$70*Assumptions!$C$82</f>
        <v>26600</v>
      </c>
      <c r="N28" s="50">
        <f>Assumptions!$D$70*Assumptions!$C$82</f>
        <v>26600</v>
      </c>
      <c r="O28" s="50">
        <f>Assumptions!$D$70*Assumptions!$C$82</f>
        <v>26600</v>
      </c>
      <c r="P28" s="50">
        <f>Assumptions!$D$70*Assumptions!$C$82</f>
        <v>26600</v>
      </c>
      <c r="Q28" s="50">
        <f>Assumptions!$D$70*Assumptions!$C$82</f>
        <v>26600</v>
      </c>
      <c r="R28" s="50">
        <f>Assumptions!$D$70*Assumptions!$C$82</f>
        <v>26600</v>
      </c>
      <c r="S28" s="50">
        <f>Assumptions!$D$70*Assumptions!$C$82</f>
        <v>26600</v>
      </c>
      <c r="T28" s="50">
        <f>S28*(1+Assumptions!C76)</f>
        <v>30589.999999999996</v>
      </c>
      <c r="U28" s="50">
        <f>T28</f>
        <v>30589.999999999996</v>
      </c>
      <c r="V28" s="50">
        <f t="shared" ref="V28:AE29" si="15">U28</f>
        <v>30589.999999999996</v>
      </c>
      <c r="W28" s="50">
        <f t="shared" si="15"/>
        <v>30589.999999999996</v>
      </c>
      <c r="X28" s="50">
        <f t="shared" si="15"/>
        <v>30589.999999999996</v>
      </c>
      <c r="Y28" s="50">
        <f t="shared" si="15"/>
        <v>30589.999999999996</v>
      </c>
      <c r="Z28" s="50">
        <f t="shared" si="15"/>
        <v>30589.999999999996</v>
      </c>
      <c r="AA28" s="50">
        <f t="shared" si="15"/>
        <v>30589.999999999996</v>
      </c>
      <c r="AB28" s="50">
        <f t="shared" si="15"/>
        <v>30589.999999999996</v>
      </c>
      <c r="AC28" s="50">
        <f t="shared" si="15"/>
        <v>30589.999999999996</v>
      </c>
      <c r="AD28" s="50">
        <f t="shared" si="15"/>
        <v>30589.999999999996</v>
      </c>
      <c r="AE28" s="50">
        <f t="shared" si="15"/>
        <v>30589.999999999996</v>
      </c>
      <c r="AF28" s="50">
        <f>AE28*(1+Assumptions!C76)</f>
        <v>35178.499999999993</v>
      </c>
      <c r="AG28" s="50">
        <f>AF28</f>
        <v>35178.499999999993</v>
      </c>
      <c r="AH28" s="50">
        <f t="shared" ref="AH28:AN29" si="16">AG28</f>
        <v>35178.499999999993</v>
      </c>
      <c r="AI28" s="50">
        <f t="shared" si="16"/>
        <v>35178.499999999993</v>
      </c>
      <c r="AJ28" s="50">
        <f t="shared" si="16"/>
        <v>35178.499999999993</v>
      </c>
      <c r="AK28" s="50">
        <f t="shared" si="16"/>
        <v>35178.499999999993</v>
      </c>
      <c r="AL28" s="50">
        <f t="shared" si="16"/>
        <v>35178.499999999993</v>
      </c>
      <c r="AM28" s="50">
        <f t="shared" si="16"/>
        <v>35178.499999999993</v>
      </c>
      <c r="AN28" s="50">
        <f t="shared" si="16"/>
        <v>35178.499999999993</v>
      </c>
      <c r="AO28" s="50"/>
    </row>
    <row r="29" spans="1:41" x14ac:dyDescent="0.3">
      <c r="A29" s="105" t="str">
        <f>Assumptions!A71</f>
        <v>Phone &amp; Internet/M</v>
      </c>
      <c r="B29" s="105"/>
      <c r="C29" s="105"/>
      <c r="D29" s="105"/>
      <c r="E29" s="50"/>
      <c r="F29" s="50"/>
      <c r="G29" s="50"/>
      <c r="H29" s="50">
        <f>Assumptions!D71</f>
        <v>15000</v>
      </c>
      <c r="I29" s="50">
        <f>H29</f>
        <v>15000</v>
      </c>
      <c r="J29" s="50">
        <f t="shared" ref="J29:S29" si="17">I29</f>
        <v>15000</v>
      </c>
      <c r="K29" s="50">
        <f t="shared" si="17"/>
        <v>15000</v>
      </c>
      <c r="L29" s="50">
        <f t="shared" si="17"/>
        <v>15000</v>
      </c>
      <c r="M29" s="50">
        <f t="shared" si="17"/>
        <v>15000</v>
      </c>
      <c r="N29" s="50">
        <f t="shared" si="17"/>
        <v>15000</v>
      </c>
      <c r="O29" s="50">
        <f t="shared" si="17"/>
        <v>15000</v>
      </c>
      <c r="P29" s="50">
        <f t="shared" si="17"/>
        <v>15000</v>
      </c>
      <c r="Q29" s="50">
        <f t="shared" si="17"/>
        <v>15000</v>
      </c>
      <c r="R29" s="50">
        <f t="shared" si="17"/>
        <v>15000</v>
      </c>
      <c r="S29" s="50">
        <f t="shared" si="17"/>
        <v>15000</v>
      </c>
      <c r="T29" s="50">
        <f>S29*(1+Assumptions!C76)</f>
        <v>17250</v>
      </c>
      <c r="U29" s="50">
        <f>T29</f>
        <v>17250</v>
      </c>
      <c r="V29" s="50">
        <f t="shared" si="15"/>
        <v>17250</v>
      </c>
      <c r="W29" s="50">
        <f t="shared" si="15"/>
        <v>17250</v>
      </c>
      <c r="X29" s="50">
        <f t="shared" si="15"/>
        <v>17250</v>
      </c>
      <c r="Y29" s="50">
        <f t="shared" si="15"/>
        <v>17250</v>
      </c>
      <c r="Z29" s="50">
        <f t="shared" si="15"/>
        <v>17250</v>
      </c>
      <c r="AA29" s="50">
        <f t="shared" si="15"/>
        <v>17250</v>
      </c>
      <c r="AB29" s="50">
        <f t="shared" si="15"/>
        <v>17250</v>
      </c>
      <c r="AC29" s="50">
        <f t="shared" si="15"/>
        <v>17250</v>
      </c>
      <c r="AD29" s="50">
        <f t="shared" si="15"/>
        <v>17250</v>
      </c>
      <c r="AE29" s="50">
        <f t="shared" si="15"/>
        <v>17250</v>
      </c>
      <c r="AF29" s="50">
        <f>AE29*(1+Assumptions!C76)</f>
        <v>19837.5</v>
      </c>
      <c r="AG29" s="50">
        <f>AF29</f>
        <v>19837.5</v>
      </c>
      <c r="AH29" s="50">
        <f t="shared" si="16"/>
        <v>19837.5</v>
      </c>
      <c r="AI29" s="50">
        <f t="shared" si="16"/>
        <v>19837.5</v>
      </c>
      <c r="AJ29" s="50">
        <f t="shared" si="16"/>
        <v>19837.5</v>
      </c>
      <c r="AK29" s="50">
        <f t="shared" si="16"/>
        <v>19837.5</v>
      </c>
      <c r="AL29" s="50">
        <f t="shared" si="16"/>
        <v>19837.5</v>
      </c>
      <c r="AM29" s="50">
        <f t="shared" si="16"/>
        <v>19837.5</v>
      </c>
      <c r="AN29" s="50">
        <f t="shared" si="16"/>
        <v>19837.5</v>
      </c>
      <c r="AO29" s="50"/>
    </row>
    <row r="30" spans="1:41" x14ac:dyDescent="0.3">
      <c r="A30" s="105" t="str">
        <f>Assumptions!A72</f>
        <v>Housekeeping &amp; Consumables (% of Revenue)</v>
      </c>
      <c r="B30" s="105"/>
      <c r="C30" s="105"/>
      <c r="D30" s="105"/>
      <c r="E30" s="50"/>
      <c r="F30" s="50"/>
      <c r="G30" s="50"/>
      <c r="H30" s="50">
        <f>Assumptions!$D$72*'Monthly P&amp;L'!H12</f>
        <v>49128</v>
      </c>
      <c r="I30" s="50">
        <f>Assumptions!$D$72*'Monthly P&amp;L'!I12</f>
        <v>51723.040000000001</v>
      </c>
      <c r="J30" s="50">
        <f>Assumptions!$D$72*'Monthly P&amp;L'!J12</f>
        <v>50290.028800000007</v>
      </c>
      <c r="K30" s="50">
        <f>Assumptions!$D$72*'Monthly P&amp;L'!K12</f>
        <v>53922.819456000005</v>
      </c>
      <c r="L30" s="50">
        <f>Assumptions!$D$72*'Monthly P&amp;L'!L12</f>
        <v>53861.043444480005</v>
      </c>
      <c r="M30" s="50">
        <f>Assumptions!$D$72*'Monthly P&amp;L'!M12</f>
        <v>56064.049129856008</v>
      </c>
      <c r="N30" s="50">
        <f>Assumptions!$D$72*'Monthly P&amp;L'!N12</f>
        <v>59476.013206466043</v>
      </c>
      <c r="O30" s="50">
        <f>Assumptions!$D$72*'Monthly P&amp;L'!O12</f>
        <v>54205.924890862108</v>
      </c>
      <c r="P30" s="50">
        <f>Assumptions!$D$72*'Monthly P&amp;L'!P12</f>
        <v>60749.643436852828</v>
      </c>
      <c r="Q30" s="50">
        <f>Assumptions!$D$72*'Monthly P&amp;L'!Q12</f>
        <v>60696.461148605973</v>
      </c>
      <c r="R30" s="50">
        <f>Assumptions!$D$72*'Monthly P&amp;L'!R12</f>
        <v>66617.744524829628</v>
      </c>
      <c r="S30" s="50">
        <f>Assumptions!$D$72*'Monthly P&amp;L'!S12</f>
        <v>64098.104291518881</v>
      </c>
      <c r="T30" s="50">
        <f>Assumptions!$D$72*'Monthly P&amp;L'!T12</f>
        <v>72575.047008793685</v>
      </c>
      <c r="U30" s="50">
        <f>Assumptions!$D$72*'Monthly P&amp;L'!U12</f>
        <v>74639.000409731569</v>
      </c>
      <c r="V30" s="50">
        <f>Assumptions!$D$72*'Monthly P&amp;L'!V12</f>
        <v>73088.572190673207</v>
      </c>
      <c r="W30" s="50">
        <f>Assumptions!$D$72*'Monthly P&amp;L'!W12</f>
        <v>80770.251682620379</v>
      </c>
      <c r="X30" s="50">
        <f>Assumptions!$D$72*'Monthly P&amp;L'!X12</f>
        <v>77254.330843188844</v>
      </c>
      <c r="Y30" s="50">
        <f>Assumptions!$D$72*'Monthly P&amp;L'!Y12</f>
        <v>81541.694016897454</v>
      </c>
      <c r="Z30" s="50">
        <f>Assumptions!$D$72*'Monthly P&amp;L'!Z12</f>
        <v>88150.384799793959</v>
      </c>
      <c r="AA30" s="50">
        <f>Assumptions!$D$72*'Monthly P&amp;L'!AA12</f>
        <v>79629.032530829994</v>
      </c>
      <c r="AB30" s="50">
        <f>Assumptions!$D$72*'Monthly P&amp;L'!AB12</f>
        <v>88640.820834237253</v>
      </c>
      <c r="AC30" s="50">
        <f>Assumptions!$D$72*'Monthly P&amp;L'!AC12</f>
        <v>91443.615305841711</v>
      </c>
      <c r="AD30" s="50">
        <f>Assumptions!$D$72*'Monthly P&amp;L'!AD12</f>
        <v>96468.733466886333</v>
      </c>
      <c r="AE30" s="50">
        <f>Assumptions!$D$72*'Monthly P&amp;L'!AE12</f>
        <v>94066.673918716653</v>
      </c>
      <c r="AF30" s="50">
        <f>Assumptions!$D$72*'Monthly P&amp;L'!AF12</f>
        <v>110525.84689314995</v>
      </c>
      <c r="AG30" s="50">
        <f>Assumptions!$D$72*'Monthly P&amp;L'!AG12</f>
        <v>107163.24355673102</v>
      </c>
      <c r="AH30" s="50">
        <f>Assumptions!$D$72*'Monthly P&amp;L'!AH12</f>
        <v>107616.34251972754</v>
      </c>
      <c r="AI30" s="50">
        <f>Assumptions!$D$72*'Monthly P&amp;L'!AI12</f>
        <v>120931.97929248252</v>
      </c>
      <c r="AJ30" s="50">
        <f>Assumptions!$D$72*'Monthly P&amp;L'!AJ12</f>
        <v>114003.16438589175</v>
      </c>
      <c r="AK30" s="50">
        <f>Assumptions!$D$72*'Monthly P&amp;L'!AK12</f>
        <v>122604.84776325025</v>
      </c>
      <c r="AL30" s="50">
        <f>Assumptions!$D$72*'Monthly P&amp;L'!AL12</f>
        <v>123838.46171851527</v>
      </c>
      <c r="AM30" s="50">
        <f>Assumptions!$D$72*'Monthly P&amp;L'!AM12</f>
        <v>112493.52541171414</v>
      </c>
      <c r="AN30" s="50">
        <f>Assumptions!$D$72*'Monthly P&amp;L'!AN12</f>
        <v>122586.1249079407</v>
      </c>
      <c r="AO30" s="50"/>
    </row>
    <row r="31" spans="1:41" x14ac:dyDescent="0.3">
      <c r="A31" s="105" t="str">
        <f>Assumptions!A73</f>
        <v>Payment Settlement Charges (% of Revenue)</v>
      </c>
      <c r="B31" s="105"/>
      <c r="C31" s="105"/>
      <c r="D31" s="105"/>
      <c r="E31" s="50"/>
      <c r="F31" s="50"/>
      <c r="G31" s="50"/>
      <c r="H31" s="50">
        <f>Assumptions!$D$73*'Monthly P&amp;L'!H12*Assumptions!$D$74</f>
        <v>18423</v>
      </c>
      <c r="I31" s="50">
        <f>Assumptions!$D$73*'Monthly P&amp;L'!I12*Assumptions!$D$74</f>
        <v>19396.14</v>
      </c>
      <c r="J31" s="50">
        <f>Assumptions!$D$73*'Monthly P&amp;L'!J12*Assumptions!$D$74</f>
        <v>18858.760800000004</v>
      </c>
      <c r="K31" s="50">
        <f>Assumptions!$D$73*'Monthly P&amp;L'!K12*Assumptions!$D$74</f>
        <v>20221.057295999999</v>
      </c>
      <c r="L31" s="50">
        <f>Assumptions!$D$73*'Monthly P&amp;L'!L12*Assumptions!$D$74</f>
        <v>20197.89129168</v>
      </c>
      <c r="M31" s="50">
        <f>Assumptions!$D$73*'Monthly P&amp;L'!M12*Assumptions!$D$74</f>
        <v>21024.018423696001</v>
      </c>
      <c r="N31" s="50">
        <f>Assumptions!$D$73*'Monthly P&amp;L'!N12*Assumptions!$D$74</f>
        <v>22303.504952424766</v>
      </c>
      <c r="O31" s="50">
        <f>Assumptions!$D$73*'Monthly P&amp;L'!O12*Assumptions!$D$74</f>
        <v>20327.221834073291</v>
      </c>
      <c r="P31" s="50">
        <f>Assumptions!$D$73*'Monthly P&amp;L'!P12*Assumptions!$D$74</f>
        <v>22781.116288819809</v>
      </c>
      <c r="Q31" s="50">
        <f>Assumptions!$D$73*'Monthly P&amp;L'!Q12*Assumptions!$D$74</f>
        <v>22761.17293072724</v>
      </c>
      <c r="R31" s="50">
        <f>Assumptions!$D$73*'Monthly P&amp;L'!R12*Assumptions!$D$74</f>
        <v>24981.654196811109</v>
      </c>
      <c r="S31" s="50">
        <f>Assumptions!$D$73*'Monthly P&amp;L'!S12*Assumptions!$D$74</f>
        <v>24036.789109319579</v>
      </c>
      <c r="T31" s="50">
        <f>Assumptions!$D$73*'Monthly P&amp;L'!T12*Assumptions!$D$74</f>
        <v>27215.642628297628</v>
      </c>
      <c r="U31" s="50">
        <f>Assumptions!$D$73*'Monthly P&amp;L'!U12*Assumptions!$D$74</f>
        <v>27989.625153649336</v>
      </c>
      <c r="V31" s="50">
        <f>Assumptions!$D$73*'Monthly P&amp;L'!V12*Assumptions!$D$74</f>
        <v>27408.214571502453</v>
      </c>
      <c r="W31" s="50">
        <f>Assumptions!$D$73*'Monthly P&amp;L'!W12*Assumptions!$D$74</f>
        <v>30288.844380982642</v>
      </c>
      <c r="X31" s="50">
        <f>Assumptions!$D$73*'Monthly P&amp;L'!X12*Assumptions!$D$74</f>
        <v>28970.374066195815</v>
      </c>
      <c r="Y31" s="50">
        <f>Assumptions!$D$73*'Monthly P&amp;L'!Y12*Assumptions!$D$74</f>
        <v>30578.135256336544</v>
      </c>
      <c r="Z31" s="50">
        <f>Assumptions!$D$73*'Monthly P&amp;L'!Z12*Assumptions!$D$74</f>
        <v>33056.394299922737</v>
      </c>
      <c r="AA31" s="50">
        <f>Assumptions!$D$73*'Monthly P&amp;L'!AA12*Assumptions!$D$74</f>
        <v>29860.88719906125</v>
      </c>
      <c r="AB31" s="50">
        <f>Assumptions!$D$73*'Monthly P&amp;L'!AB12*Assumptions!$D$74</f>
        <v>33240.307812838968</v>
      </c>
      <c r="AC31" s="50">
        <f>Assumptions!$D$73*'Monthly P&amp;L'!AC12*Assumptions!$D$74</f>
        <v>34291.35573969064</v>
      </c>
      <c r="AD31" s="50">
        <f>Assumptions!$D$73*'Monthly P&amp;L'!AD12*Assumptions!$D$74</f>
        <v>36175.775050082375</v>
      </c>
      <c r="AE31" s="50">
        <f>Assumptions!$D$73*'Monthly P&amp;L'!AE12*Assumptions!$D$74</f>
        <v>35275.002719518743</v>
      </c>
      <c r="AF31" s="50">
        <f>Assumptions!$D$73*'Monthly P&amp;L'!AF12*Assumptions!$D$74</f>
        <v>41447.192584931232</v>
      </c>
      <c r="AG31" s="50">
        <f>Assumptions!$D$73*'Monthly P&amp;L'!AG12*Assumptions!$D$74</f>
        <v>40186.216333774129</v>
      </c>
      <c r="AH31" s="50">
        <f>Assumptions!$D$73*'Monthly P&amp;L'!AH12*Assumptions!$D$74</f>
        <v>40356.128444897826</v>
      </c>
      <c r="AI31" s="50">
        <f>Assumptions!$D$73*'Monthly P&amp;L'!AI12*Assumptions!$D$74</f>
        <v>45349.49223468094</v>
      </c>
      <c r="AJ31" s="50">
        <f>Assumptions!$D$73*'Monthly P&amp;L'!AJ12*Assumptions!$D$74</f>
        <v>42751.1866447094</v>
      </c>
      <c r="AK31" s="50">
        <f>Assumptions!$D$73*'Monthly P&amp;L'!AK12*Assumptions!$D$74</f>
        <v>45976.817911218837</v>
      </c>
      <c r="AL31" s="50">
        <f>Assumptions!$D$73*'Monthly P&amp;L'!AL12*Assumptions!$D$74</f>
        <v>46439.423144443223</v>
      </c>
      <c r="AM31" s="50">
        <f>Assumptions!$D$73*'Monthly P&amp;L'!AM12*Assumptions!$D$74</f>
        <v>42185.072029392803</v>
      </c>
      <c r="AN31" s="50">
        <f>Assumptions!$D$73*'Monthly P&amp;L'!AN12*Assumptions!$D$74</f>
        <v>45969.796840477764</v>
      </c>
      <c r="AO31" s="50"/>
    </row>
    <row r="32" spans="1:41" s="59" customFormat="1" x14ac:dyDescent="0.3">
      <c r="A32" s="110" t="s">
        <v>111</v>
      </c>
      <c r="B32" s="110"/>
      <c r="C32" s="110"/>
      <c r="D32" s="110"/>
      <c r="E32" s="61"/>
      <c r="F32" s="61"/>
      <c r="G32" s="61"/>
      <c r="H32" s="61">
        <f>SUM(H22:H31)</f>
        <v>942611</v>
      </c>
      <c r="I32" s="61">
        <f t="shared" ref="I32:AN32" si="18">SUM(I22:I31)</f>
        <v>965641.9800000001</v>
      </c>
      <c r="J32" s="61">
        <f t="shared" si="18"/>
        <v>952924.00560000015</v>
      </c>
      <c r="K32" s="61">
        <f t="shared" si="18"/>
        <v>985165.02267199999</v>
      </c>
      <c r="L32" s="61">
        <f t="shared" si="18"/>
        <v>984616.76056976011</v>
      </c>
      <c r="M32" s="61">
        <f t="shared" si="18"/>
        <v>1004168.4360274721</v>
      </c>
      <c r="N32" s="61">
        <f t="shared" si="18"/>
        <v>1034449.6172073862</v>
      </c>
      <c r="O32" s="61">
        <f t="shared" si="18"/>
        <v>987677.58340640133</v>
      </c>
      <c r="P32" s="61">
        <f t="shared" si="18"/>
        <v>1045753.085502069</v>
      </c>
      <c r="Q32" s="61">
        <f t="shared" si="18"/>
        <v>1045281.0926938779</v>
      </c>
      <c r="R32" s="61">
        <f t="shared" si="18"/>
        <v>1097832.4826578631</v>
      </c>
      <c r="S32" s="61">
        <f t="shared" si="18"/>
        <v>1075470.6755872301</v>
      </c>
      <c r="T32" s="61">
        <f t="shared" si="18"/>
        <v>1226693.5422030441</v>
      </c>
      <c r="U32" s="61">
        <f t="shared" si="18"/>
        <v>1245011.1286363676</v>
      </c>
      <c r="V32" s="61">
        <f t="shared" si="18"/>
        <v>1231251.0781922247</v>
      </c>
      <c r="W32" s="61">
        <f t="shared" si="18"/>
        <v>1299425.983683256</v>
      </c>
      <c r="X32" s="61">
        <f t="shared" si="18"/>
        <v>1268222.1862333009</v>
      </c>
      <c r="Y32" s="61">
        <f t="shared" si="18"/>
        <v>1306272.5343999648</v>
      </c>
      <c r="Z32" s="61">
        <f t="shared" si="18"/>
        <v>1364924.6650981714</v>
      </c>
      <c r="AA32" s="61">
        <f t="shared" si="18"/>
        <v>1289297.6637111162</v>
      </c>
      <c r="AB32" s="61">
        <f t="shared" si="18"/>
        <v>1369277.2849038555</v>
      </c>
      <c r="AC32" s="61">
        <f t="shared" si="18"/>
        <v>1394152.0858393451</v>
      </c>
      <c r="AD32" s="61">
        <f t="shared" si="18"/>
        <v>1438750.0095186161</v>
      </c>
      <c r="AE32" s="61">
        <f t="shared" si="18"/>
        <v>1417431.7310286101</v>
      </c>
      <c r="AF32" s="61">
        <f t="shared" si="18"/>
        <v>1650895.3911767055</v>
      </c>
      <c r="AG32" s="61">
        <f t="shared" si="18"/>
        <v>1621052.2865659876</v>
      </c>
      <c r="AH32" s="61">
        <f t="shared" si="18"/>
        <v>1625073.539862582</v>
      </c>
      <c r="AI32" s="61">
        <f t="shared" si="18"/>
        <v>1743249.8162207825</v>
      </c>
      <c r="AJ32" s="61">
        <f t="shared" si="18"/>
        <v>1681756.5839247892</v>
      </c>
      <c r="AK32" s="61">
        <f t="shared" si="18"/>
        <v>1758096.523898846</v>
      </c>
      <c r="AL32" s="61">
        <f t="shared" si="18"/>
        <v>1769044.8477518228</v>
      </c>
      <c r="AM32" s="61">
        <f t="shared" si="18"/>
        <v>1668358.5380289627</v>
      </c>
      <c r="AN32" s="61">
        <f t="shared" si="18"/>
        <v>1757930.3585579735</v>
      </c>
      <c r="AO32" s="61"/>
    </row>
    <row r="33" spans="1:41" x14ac:dyDescent="0.3"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</row>
    <row r="34" spans="1:41" s="62" customFormat="1" ht="15" thickBot="1" x14ac:dyDescent="0.35">
      <c r="A34" s="62" t="s">
        <v>112</v>
      </c>
      <c r="E34" s="63"/>
      <c r="F34" s="63"/>
      <c r="G34" s="63"/>
      <c r="H34" s="63">
        <f>H12-H19-H32</f>
        <v>-272311</v>
      </c>
      <c r="I34" s="63">
        <f t="shared" ref="I34:AN34" si="19">I12-I19-I32</f>
        <v>-208714.38</v>
      </c>
      <c r="J34" s="63">
        <f t="shared" si="19"/>
        <v>-243649.36559999979</v>
      </c>
      <c r="K34" s="63">
        <f t="shared" si="19"/>
        <v>-153797.71547199984</v>
      </c>
      <c r="L34" s="63">
        <f t="shared" si="19"/>
        <v>-155512.97592016007</v>
      </c>
      <c r="M34" s="63">
        <f t="shared" si="19"/>
        <v>-100289.71144615998</v>
      </c>
      <c r="N34" s="63">
        <f t="shared" si="19"/>
        <v>-16570.115366440383</v>
      </c>
      <c r="O34" s="63">
        <f t="shared" si="19"/>
        <v>-146921.45346752461</v>
      </c>
      <c r="P34" s="63">
        <f t="shared" si="19"/>
        <v>15898.567152683157</v>
      </c>
      <c r="Q34" s="63">
        <f t="shared" si="19"/>
        <v>14383.002404787578</v>
      </c>
      <c r="R34" s="63">
        <f t="shared" si="19"/>
        <v>160393.44755617948</v>
      </c>
      <c r="S34" s="63">
        <f t="shared" si="19"/>
        <v>98712.850146326236</v>
      </c>
      <c r="T34" s="63">
        <f t="shared" si="19"/>
        <v>114336.75323656807</v>
      </c>
      <c r="U34" s="63">
        <f t="shared" si="19"/>
        <v>165485.99605515646</v>
      </c>
      <c r="V34" s="63">
        <f t="shared" si="19"/>
        <v>127382.91122598341</v>
      </c>
      <c r="W34" s="63">
        <f t="shared" si="19"/>
        <v>316831.71446332894</v>
      </c>
      <c r="X34" s="63">
        <f t="shared" si="19"/>
        <v>230634.48671430233</v>
      </c>
      <c r="Y34" s="63">
        <f t="shared" si="19"/>
        <v>337158.16726462357</v>
      </c>
      <c r="Z34" s="63">
        <f t="shared" si="19"/>
        <v>499641.52158763935</v>
      </c>
      <c r="AA34" s="63">
        <f t="shared" si="19"/>
        <v>288932.2363619539</v>
      </c>
      <c r="AB34" s="63">
        <f t="shared" si="19"/>
        <v>513106.71617575502</v>
      </c>
      <c r="AC34" s="63">
        <f t="shared" si="19"/>
        <v>581560.91211580765</v>
      </c>
      <c r="AD34" s="63">
        <f t="shared" si="19"/>
        <v>706360.90911694546</v>
      </c>
      <c r="AE34" s="63">
        <f t="shared" si="19"/>
        <v>647263.01452287356</v>
      </c>
      <c r="AF34" s="63">
        <f t="shared" si="19"/>
        <v>834060.45226548403</v>
      </c>
      <c r="AG34" s="63">
        <f t="shared" si="19"/>
        <v>752366.73989695846</v>
      </c>
      <c r="AH34" s="63">
        <f t="shared" si="19"/>
        <v>763243.64601836959</v>
      </c>
      <c r="AI34" s="63">
        <f t="shared" si="19"/>
        <v>1091738.9837865776</v>
      </c>
      <c r="AJ34" s="63">
        <f t="shared" si="19"/>
        <v>921469.51560965111</v>
      </c>
      <c r="AK34" s="63">
        <f t="shared" si="19"/>
        <v>1134217.5937590078</v>
      </c>
      <c r="AL34" s="63">
        <f t="shared" si="19"/>
        <v>1164946.8140091891</v>
      </c>
      <c r="AM34" s="63">
        <f t="shared" si="19"/>
        <v>883794.51128579327</v>
      </c>
      <c r="AN34" s="63">
        <f t="shared" si="19"/>
        <v>1135200.3189882352</v>
      </c>
      <c r="AO34" s="63"/>
    </row>
    <row r="35" spans="1:41" ht="15" thickTop="1" x14ac:dyDescent="0.3"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</row>
    <row r="36" spans="1:41" s="64" customFormat="1" x14ac:dyDescent="0.3">
      <c r="A36" s="64" t="s">
        <v>113</v>
      </c>
      <c r="E36" s="65"/>
      <c r="F36" s="65"/>
      <c r="G36" s="65"/>
      <c r="H36" s="66">
        <f>H34/H12</f>
        <v>-0.1108577593225859</v>
      </c>
      <c r="I36" s="66">
        <f t="shared" ref="I36:AN36" si="20">I34/I12</f>
        <v>-8.0704606689784672E-2</v>
      </c>
      <c r="J36" s="66">
        <f t="shared" si="20"/>
        <v>-9.6897683860542844E-2</v>
      </c>
      <c r="K36" s="66">
        <f t="shared" si="20"/>
        <v>-5.7043647577625596E-2</v>
      </c>
      <c r="L36" s="66">
        <f t="shared" si="20"/>
        <v>-5.7745994498031937E-2</v>
      </c>
      <c r="M36" s="66">
        <f t="shared" si="20"/>
        <v>-3.5776834888920757E-2</v>
      </c>
      <c r="N36" s="66">
        <f t="shared" si="20"/>
        <v>-5.5720329837572E-3</v>
      </c>
      <c r="O36" s="66">
        <f t="shared" si="20"/>
        <v>-5.4208632640559279E-2</v>
      </c>
      <c r="P36" s="66">
        <f t="shared" si="20"/>
        <v>5.2341269028876435E-3</v>
      </c>
      <c r="Q36" s="66">
        <f t="shared" si="20"/>
        <v>4.7393215790861361E-3</v>
      </c>
      <c r="R36" s="66">
        <f t="shared" si="20"/>
        <v>4.8153370757365692E-2</v>
      </c>
      <c r="S36" s="66">
        <f t="shared" si="20"/>
        <v>3.0800552134078448E-2</v>
      </c>
      <c r="T36" s="66">
        <f t="shared" si="20"/>
        <v>3.1508557816769797E-2</v>
      </c>
      <c r="U36" s="66">
        <f t="shared" si="20"/>
        <v>4.4343036521582384E-2</v>
      </c>
      <c r="V36" s="66">
        <f t="shared" si="20"/>
        <v>3.4857134955015218E-2</v>
      </c>
      <c r="W36" s="66">
        <f t="shared" si="20"/>
        <v>7.8452575759771395E-2</v>
      </c>
      <c r="X36" s="66">
        <f t="shared" si="20"/>
        <v>5.9707846588547941E-2</v>
      </c>
      <c r="Y36" s="66">
        <f t="shared" si="20"/>
        <v>8.2695894739384754E-2</v>
      </c>
      <c r="Z36" s="66">
        <f t="shared" si="20"/>
        <v>0.11336116631196083</v>
      </c>
      <c r="AA36" s="66">
        <f t="shared" si="20"/>
        <v>7.2569570966490873E-2</v>
      </c>
      <c r="AB36" s="66">
        <f t="shared" si="20"/>
        <v>0.11577210394639512</v>
      </c>
      <c r="AC36" s="66">
        <f t="shared" si="20"/>
        <v>0.12719552046815361</v>
      </c>
      <c r="AD36" s="66">
        <f t="shared" si="20"/>
        <v>0.14644349184068214</v>
      </c>
      <c r="AE36" s="66">
        <f t="shared" si="20"/>
        <v>0.13761792302387046</v>
      </c>
      <c r="AF36" s="66">
        <f t="shared" si="20"/>
        <v>0.15092586498284077</v>
      </c>
      <c r="AG36" s="66">
        <f t="shared" si="20"/>
        <v>0.14041507422247143</v>
      </c>
      <c r="AH36" s="66">
        <f t="shared" si="20"/>
        <v>0.14184530493190783</v>
      </c>
      <c r="AI36" s="66">
        <f t="shared" si="20"/>
        <v>0.18055422398175258</v>
      </c>
      <c r="AJ36" s="66">
        <f t="shared" si="20"/>
        <v>0.16165683129470851</v>
      </c>
      <c r="AK36" s="66">
        <f t="shared" si="20"/>
        <v>0.18502002399598097</v>
      </c>
      <c r="AL36" s="66">
        <f t="shared" si="20"/>
        <v>0.18813974234549399</v>
      </c>
      <c r="AM36" s="66">
        <f t="shared" si="20"/>
        <v>0.15712806724675057</v>
      </c>
      <c r="AN36" s="66">
        <f t="shared" si="20"/>
        <v>0.18520861473364036</v>
      </c>
      <c r="AO36" s="65"/>
    </row>
    <row r="37" spans="1:41" x14ac:dyDescent="0.3"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</row>
    <row r="38" spans="1:41" x14ac:dyDescent="0.3"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</row>
    <row r="39" spans="1:41" s="71" customFormat="1" x14ac:dyDescent="0.3">
      <c r="A39" s="71" t="s">
        <v>104</v>
      </c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</row>
    <row r="40" spans="1:41" x14ac:dyDescent="0.3"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</row>
    <row r="41" spans="1:41" x14ac:dyDescent="0.3"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</row>
    <row r="42" spans="1:41" x14ac:dyDescent="0.3"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</row>
    <row r="43" spans="1:41" x14ac:dyDescent="0.3"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</row>
    <row r="44" spans="1:41" x14ac:dyDescent="0.3"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</row>
    <row r="45" spans="1:41" x14ac:dyDescent="0.3"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</row>
    <row r="46" spans="1:41" x14ac:dyDescent="0.3"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</row>
    <row r="47" spans="1:41" x14ac:dyDescent="0.3"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</row>
    <row r="48" spans="1:41" x14ac:dyDescent="0.3"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</row>
    <row r="49" spans="5:41" x14ac:dyDescent="0.3"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</row>
    <row r="50" spans="5:41" x14ac:dyDescent="0.3"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</row>
    <row r="51" spans="5:41" x14ac:dyDescent="0.3"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</row>
    <row r="52" spans="5:41" x14ac:dyDescent="0.3"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</row>
    <row r="53" spans="5:41" x14ac:dyDescent="0.3"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</row>
    <row r="54" spans="5:41" x14ac:dyDescent="0.3"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</row>
    <row r="55" spans="5:41" x14ac:dyDescent="0.3"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</row>
    <row r="56" spans="5:41" x14ac:dyDescent="0.3"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</row>
    <row r="57" spans="5:41" x14ac:dyDescent="0.3"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</row>
    <row r="58" spans="5:41" x14ac:dyDescent="0.3"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</row>
    <row r="59" spans="5:41" x14ac:dyDescent="0.3"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</row>
    <row r="60" spans="5:41" x14ac:dyDescent="0.3"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</row>
    <row r="61" spans="5:41" x14ac:dyDescent="0.3"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</row>
    <row r="62" spans="5:41" x14ac:dyDescent="0.3"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</row>
    <row r="63" spans="5:41" x14ac:dyDescent="0.3"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</row>
    <row r="64" spans="5:41" x14ac:dyDescent="0.3"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</row>
    <row r="65" spans="5:41" x14ac:dyDescent="0.3"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</row>
    <row r="66" spans="5:41" x14ac:dyDescent="0.3"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</row>
    <row r="67" spans="5:41" x14ac:dyDescent="0.3"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</row>
    <row r="68" spans="5:41" x14ac:dyDescent="0.3"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</row>
    <row r="69" spans="5:41" x14ac:dyDescent="0.3"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</row>
    <row r="70" spans="5:41" x14ac:dyDescent="0.3"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</row>
    <row r="71" spans="5:41" x14ac:dyDescent="0.3"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</row>
    <row r="72" spans="5:41" x14ac:dyDescent="0.3"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</row>
    <row r="73" spans="5:41" x14ac:dyDescent="0.3"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5:41" x14ac:dyDescent="0.3"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</row>
    <row r="75" spans="5:41" x14ac:dyDescent="0.3"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</row>
    <row r="76" spans="5:41" x14ac:dyDescent="0.3"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</row>
    <row r="77" spans="5:41" x14ac:dyDescent="0.3"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</row>
    <row r="78" spans="5:41" x14ac:dyDescent="0.3"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</row>
    <row r="79" spans="5:41" x14ac:dyDescent="0.3"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</row>
    <row r="80" spans="5:41" x14ac:dyDescent="0.3"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</row>
    <row r="81" spans="5:41" x14ac:dyDescent="0.3"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</row>
    <row r="82" spans="5:41" x14ac:dyDescent="0.3"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</row>
    <row r="83" spans="5:41" x14ac:dyDescent="0.3"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</row>
    <row r="84" spans="5:41" x14ac:dyDescent="0.3"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</row>
    <row r="85" spans="5:41" x14ac:dyDescent="0.3"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</row>
    <row r="86" spans="5:41" x14ac:dyDescent="0.3"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</row>
    <row r="87" spans="5:41" x14ac:dyDescent="0.3"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</row>
    <row r="88" spans="5:41" x14ac:dyDescent="0.3"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</row>
    <row r="89" spans="5:41" x14ac:dyDescent="0.3"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</row>
    <row r="90" spans="5:41" x14ac:dyDescent="0.3"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</row>
    <row r="91" spans="5:41" x14ac:dyDescent="0.3"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</row>
    <row r="92" spans="5:41" x14ac:dyDescent="0.3"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</row>
    <row r="93" spans="5:41" x14ac:dyDescent="0.3"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</row>
    <row r="94" spans="5:41" x14ac:dyDescent="0.3"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</row>
    <row r="95" spans="5:41" x14ac:dyDescent="0.3"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</row>
    <row r="96" spans="5:41" x14ac:dyDescent="0.3"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</row>
    <row r="97" spans="5:41" x14ac:dyDescent="0.3"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</row>
    <row r="98" spans="5:41" x14ac:dyDescent="0.3"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</row>
    <row r="99" spans="5:41" x14ac:dyDescent="0.3"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</row>
    <row r="100" spans="5:41" x14ac:dyDescent="0.3"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</row>
    <row r="101" spans="5:41" x14ac:dyDescent="0.3"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</row>
    <row r="102" spans="5:41" x14ac:dyDescent="0.3"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</row>
    <row r="103" spans="5:41" x14ac:dyDescent="0.3"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</row>
    <row r="104" spans="5:41" x14ac:dyDescent="0.3"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</row>
    <row r="105" spans="5:41" x14ac:dyDescent="0.3"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</row>
    <row r="106" spans="5:41" x14ac:dyDescent="0.3"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</row>
    <row r="107" spans="5:41" x14ac:dyDescent="0.3"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</row>
    <row r="108" spans="5:41" x14ac:dyDescent="0.3"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</row>
    <row r="109" spans="5:41" x14ac:dyDescent="0.3"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</row>
    <row r="110" spans="5:41" x14ac:dyDescent="0.3"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</row>
    <row r="111" spans="5:41" x14ac:dyDescent="0.3"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</row>
    <row r="112" spans="5:41" x14ac:dyDescent="0.3"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</row>
    <row r="113" spans="5:41" x14ac:dyDescent="0.3"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</row>
    <row r="114" spans="5:41" x14ac:dyDescent="0.3"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</row>
    <row r="115" spans="5:41" x14ac:dyDescent="0.3"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</row>
    <row r="116" spans="5:41" x14ac:dyDescent="0.3"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</row>
    <row r="117" spans="5:41" x14ac:dyDescent="0.3"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</row>
    <row r="118" spans="5:41" x14ac:dyDescent="0.3"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</row>
    <row r="119" spans="5:41" x14ac:dyDescent="0.3"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</row>
    <row r="120" spans="5:41" x14ac:dyDescent="0.3"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</row>
    <row r="121" spans="5:41" x14ac:dyDescent="0.3"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</row>
    <row r="122" spans="5:41" x14ac:dyDescent="0.3"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</row>
    <row r="123" spans="5:41" x14ac:dyDescent="0.3"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</row>
    <row r="124" spans="5:41" x14ac:dyDescent="0.3"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</row>
    <row r="125" spans="5:41" x14ac:dyDescent="0.3"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</row>
    <row r="126" spans="5:41" x14ac:dyDescent="0.3"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</row>
    <row r="127" spans="5:41" x14ac:dyDescent="0.3"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</row>
    <row r="128" spans="5:41" x14ac:dyDescent="0.3"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</row>
    <row r="129" spans="5:41" x14ac:dyDescent="0.3"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</row>
    <row r="130" spans="5:41" x14ac:dyDescent="0.3"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</row>
    <row r="131" spans="5:41" x14ac:dyDescent="0.3"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</row>
    <row r="132" spans="5:41" x14ac:dyDescent="0.3"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</row>
    <row r="133" spans="5:41" x14ac:dyDescent="0.3"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</row>
    <row r="134" spans="5:41" x14ac:dyDescent="0.3"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</row>
    <row r="135" spans="5:41" x14ac:dyDescent="0.3"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</row>
    <row r="136" spans="5:41" x14ac:dyDescent="0.3"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</row>
    <row r="137" spans="5:41" x14ac:dyDescent="0.3"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</row>
    <row r="138" spans="5:41" x14ac:dyDescent="0.3"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</row>
    <row r="139" spans="5:41" x14ac:dyDescent="0.3"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</row>
    <row r="140" spans="5:41" x14ac:dyDescent="0.3"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</row>
    <row r="141" spans="5:41" x14ac:dyDescent="0.3"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</row>
    <row r="142" spans="5:41" x14ac:dyDescent="0.3"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</row>
    <row r="143" spans="5:41" x14ac:dyDescent="0.3"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</row>
    <row r="144" spans="5:41" x14ac:dyDescent="0.3"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</row>
    <row r="145" spans="5:41" x14ac:dyDescent="0.3"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</row>
    <row r="146" spans="5:41" x14ac:dyDescent="0.3"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</row>
    <row r="147" spans="5:41" x14ac:dyDescent="0.3"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</row>
    <row r="148" spans="5:41" x14ac:dyDescent="0.3"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</row>
    <row r="149" spans="5:41" x14ac:dyDescent="0.3"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</row>
    <row r="150" spans="5:41" x14ac:dyDescent="0.3"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</row>
    <row r="151" spans="5:41" x14ac:dyDescent="0.3"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</row>
    <row r="152" spans="5:41" x14ac:dyDescent="0.3"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</row>
    <row r="153" spans="5:41" x14ac:dyDescent="0.3"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</row>
    <row r="154" spans="5:41" x14ac:dyDescent="0.3"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</row>
    <row r="155" spans="5:41" x14ac:dyDescent="0.3"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</row>
    <row r="156" spans="5:41" x14ac:dyDescent="0.3"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</row>
    <row r="157" spans="5:41" x14ac:dyDescent="0.3"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</row>
    <row r="158" spans="5:41" x14ac:dyDescent="0.3"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</row>
    <row r="159" spans="5:41" x14ac:dyDescent="0.3"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</row>
  </sheetData>
  <mergeCells count="9">
    <mergeCell ref="H2:I2"/>
    <mergeCell ref="A31:D31"/>
    <mergeCell ref="A32:D32"/>
    <mergeCell ref="A15:C15"/>
    <mergeCell ref="A16:C16"/>
    <mergeCell ref="A17:C17"/>
    <mergeCell ref="A28:D28"/>
    <mergeCell ref="A29:D29"/>
    <mergeCell ref="A30:D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9D8A-37CD-4AFF-B8FA-AA67E9CB7AED}">
  <sheetPr>
    <tabColor rgb="FF00B050"/>
  </sheetPr>
  <dimension ref="A2:H67"/>
  <sheetViews>
    <sheetView workbookViewId="0">
      <selection activeCell="B4" sqref="B4"/>
    </sheetView>
  </sheetViews>
  <sheetFormatPr defaultRowHeight="14.4" x14ac:dyDescent="0.3"/>
  <cols>
    <col min="3" max="3" width="9.109375" bestFit="1" customWidth="1"/>
    <col min="4" max="4" width="13.109375" bestFit="1" customWidth="1"/>
  </cols>
  <sheetData>
    <row r="2" spans="1:8" ht="21" x14ac:dyDescent="0.4">
      <c r="D2" s="109" t="s">
        <v>176</v>
      </c>
      <c r="E2" s="109"/>
      <c r="F2" s="109"/>
      <c r="G2" s="109"/>
      <c r="H2" s="109"/>
    </row>
    <row r="4" spans="1:8" x14ac:dyDescent="0.3">
      <c r="A4" s="1" t="s">
        <v>0</v>
      </c>
      <c r="B4" s="1" t="s">
        <v>191</v>
      </c>
    </row>
    <row r="5" spans="1:8" x14ac:dyDescent="0.3">
      <c r="D5" s="10" t="s">
        <v>7</v>
      </c>
    </row>
    <row r="6" spans="1:8" x14ac:dyDescent="0.3">
      <c r="D6" s="9">
        <f>Assumptions!C5</f>
        <v>43951</v>
      </c>
    </row>
    <row r="8" spans="1:8" x14ac:dyDescent="0.3">
      <c r="A8" s="6" t="s">
        <v>114</v>
      </c>
      <c r="C8" s="50"/>
      <c r="D8" s="50"/>
      <c r="E8" s="50"/>
      <c r="F8" s="50"/>
      <c r="G8" s="50"/>
    </row>
    <row r="9" spans="1:8" x14ac:dyDescent="0.3">
      <c r="A9" t="str">
        <f>Assumptions!A94</f>
        <v>Kitchen Eq. &amp; Cutlery</v>
      </c>
      <c r="C9" s="50"/>
      <c r="D9" s="50">
        <f>Assumptions!$B$94*Assumptions!$C$85</f>
        <v>3000000</v>
      </c>
      <c r="E9" s="50"/>
      <c r="F9" s="50"/>
      <c r="G9" s="50"/>
    </row>
    <row r="10" spans="1:8" x14ac:dyDescent="0.3">
      <c r="A10" t="str">
        <f>Assumptions!A95</f>
        <v>Refrigeration</v>
      </c>
      <c r="C10" s="50"/>
      <c r="D10" s="50">
        <f>Assumptions!$B$95*Assumptions!$C$85</f>
        <v>5000000</v>
      </c>
      <c r="E10" s="50"/>
      <c r="F10" s="50"/>
      <c r="G10" s="50"/>
    </row>
    <row r="11" spans="1:8" x14ac:dyDescent="0.3">
      <c r="A11" t="str">
        <f>Assumptions!A96</f>
        <v>Furniture</v>
      </c>
      <c r="C11" s="50"/>
      <c r="D11" s="50">
        <f>Assumptions!$B$96*Assumptions!$C$84</f>
        <v>5100000</v>
      </c>
      <c r="E11" s="50"/>
      <c r="F11" s="50"/>
      <c r="G11" s="50"/>
    </row>
    <row r="12" spans="1:8" x14ac:dyDescent="0.3">
      <c r="A12" t="str">
        <f>Assumptions!A97</f>
        <v>Restaurants Décor</v>
      </c>
      <c r="C12" s="50"/>
      <c r="D12" s="50">
        <f>Assumptions!$B$97*Assumptions!$C$84</f>
        <v>6000000</v>
      </c>
      <c r="E12" s="50"/>
      <c r="F12" s="50"/>
      <c r="G12" s="50"/>
    </row>
    <row r="13" spans="1:8" s="59" customFormat="1" x14ac:dyDescent="0.3">
      <c r="A13" s="59" t="s">
        <v>117</v>
      </c>
      <c r="C13" s="61"/>
      <c r="D13" s="61">
        <f>SUM(D9:D12)</f>
        <v>19100000</v>
      </c>
      <c r="E13" s="61"/>
      <c r="F13" s="61"/>
      <c r="G13" s="61"/>
    </row>
    <row r="14" spans="1:8" x14ac:dyDescent="0.3">
      <c r="A14" t="s">
        <v>118</v>
      </c>
      <c r="C14" s="50"/>
      <c r="D14" s="50"/>
      <c r="E14" s="50"/>
      <c r="F14" s="50"/>
      <c r="G14" s="50"/>
    </row>
    <row r="15" spans="1:8" x14ac:dyDescent="0.3">
      <c r="A15" s="67" t="s">
        <v>119</v>
      </c>
      <c r="C15" s="50"/>
      <c r="D15" s="50">
        <f>Assumptions!B98</f>
        <v>1000000</v>
      </c>
      <c r="E15" s="50"/>
      <c r="F15" s="50"/>
      <c r="G15" s="50"/>
    </row>
    <row r="16" spans="1:8" x14ac:dyDescent="0.3">
      <c r="A16" s="67" t="s">
        <v>88</v>
      </c>
      <c r="C16" s="50"/>
      <c r="D16" s="50">
        <f>Assumptions!B102</f>
        <v>2400000</v>
      </c>
      <c r="E16" s="50"/>
      <c r="F16" s="50"/>
      <c r="G16" s="50"/>
    </row>
    <row r="17" spans="1:7" x14ac:dyDescent="0.3">
      <c r="C17" s="50"/>
      <c r="D17" s="50"/>
      <c r="E17" s="50"/>
      <c r="F17" s="50"/>
      <c r="G17" s="50"/>
    </row>
    <row r="18" spans="1:7" s="48" customFormat="1" ht="15" thickBot="1" x14ac:dyDescent="0.35">
      <c r="A18" s="48" t="s">
        <v>120</v>
      </c>
      <c r="C18" s="54"/>
      <c r="D18" s="54">
        <f>SUM(D13,D15,D16)</f>
        <v>22500000</v>
      </c>
      <c r="E18" s="54"/>
      <c r="F18" s="54"/>
      <c r="G18" s="54"/>
    </row>
    <row r="19" spans="1:7" x14ac:dyDescent="0.3">
      <c r="C19" s="50"/>
      <c r="D19" s="50"/>
      <c r="E19" s="50"/>
      <c r="F19" s="50"/>
      <c r="G19" s="50"/>
    </row>
    <row r="20" spans="1:7" x14ac:dyDescent="0.3">
      <c r="A20" s="6" t="s">
        <v>121</v>
      </c>
      <c r="C20" s="50"/>
      <c r="D20" s="50"/>
      <c r="E20" s="50"/>
      <c r="F20" s="50"/>
      <c r="G20" s="50"/>
    </row>
    <row r="21" spans="1:7" x14ac:dyDescent="0.3">
      <c r="A21" s="67" t="s">
        <v>96</v>
      </c>
      <c r="C21" s="68">
        <f>Assumptions!B117</f>
        <v>1</v>
      </c>
      <c r="D21" s="50">
        <f>C21*D18</f>
        <v>22500000</v>
      </c>
      <c r="E21" s="50"/>
      <c r="F21" s="50"/>
      <c r="G21" s="50"/>
    </row>
    <row r="22" spans="1:7" x14ac:dyDescent="0.3">
      <c r="A22" s="67" t="s">
        <v>97</v>
      </c>
      <c r="C22" s="68">
        <f>Assumptions!B118</f>
        <v>0</v>
      </c>
      <c r="D22" s="50">
        <f>C22*D18</f>
        <v>0</v>
      </c>
      <c r="E22" s="50"/>
      <c r="F22" s="50"/>
      <c r="G22" s="50"/>
    </row>
    <row r="23" spans="1:7" s="69" customFormat="1" ht="15" thickBot="1" x14ac:dyDescent="0.35">
      <c r="A23" s="69" t="s">
        <v>122</v>
      </c>
      <c r="C23" s="70"/>
      <c r="D23" s="70">
        <f>SUM(D21:D22)</f>
        <v>22500000</v>
      </c>
      <c r="E23" s="70"/>
      <c r="F23" s="70"/>
      <c r="G23" s="70"/>
    </row>
    <row r="24" spans="1:7" ht="15" thickTop="1" x14ac:dyDescent="0.3">
      <c r="C24" s="50"/>
      <c r="D24" s="50"/>
      <c r="E24" s="50"/>
      <c r="F24" s="50"/>
      <c r="G24" s="50"/>
    </row>
    <row r="25" spans="1:7" x14ac:dyDescent="0.3">
      <c r="C25" s="50"/>
      <c r="D25" s="50"/>
      <c r="E25" s="50"/>
      <c r="F25" s="50"/>
      <c r="G25" s="50"/>
    </row>
    <row r="26" spans="1:7" s="71" customFormat="1" x14ac:dyDescent="0.3">
      <c r="A26" s="71" t="s">
        <v>104</v>
      </c>
      <c r="C26" s="73"/>
      <c r="D26" s="73"/>
      <c r="E26" s="73"/>
      <c r="F26" s="73"/>
      <c r="G26" s="73"/>
    </row>
    <row r="27" spans="1:7" x14ac:dyDescent="0.3">
      <c r="C27" s="50"/>
      <c r="D27" s="50"/>
      <c r="E27" s="50"/>
      <c r="F27" s="50"/>
      <c r="G27" s="50"/>
    </row>
    <row r="28" spans="1:7" x14ac:dyDescent="0.3">
      <c r="C28" s="50"/>
      <c r="D28" s="50"/>
      <c r="E28" s="50"/>
      <c r="F28" s="50"/>
      <c r="G28" s="50"/>
    </row>
    <row r="29" spans="1:7" x14ac:dyDescent="0.3">
      <c r="C29" s="50"/>
      <c r="D29" s="50"/>
      <c r="E29" s="50"/>
      <c r="F29" s="50"/>
      <c r="G29" s="50"/>
    </row>
    <row r="30" spans="1:7" x14ac:dyDescent="0.3">
      <c r="C30" s="50"/>
      <c r="D30" s="50"/>
      <c r="E30" s="50"/>
      <c r="F30" s="50"/>
      <c r="G30" s="50"/>
    </row>
    <row r="31" spans="1:7" x14ac:dyDescent="0.3">
      <c r="C31" s="50"/>
      <c r="D31" s="50"/>
      <c r="E31" s="50"/>
      <c r="F31" s="50"/>
      <c r="G31" s="50"/>
    </row>
    <row r="32" spans="1:7" x14ac:dyDescent="0.3">
      <c r="C32" s="50"/>
      <c r="D32" s="50"/>
      <c r="E32" s="50"/>
      <c r="F32" s="50"/>
      <c r="G32" s="50"/>
    </row>
    <row r="33" spans="3:7" x14ac:dyDescent="0.3">
      <c r="C33" s="50"/>
      <c r="D33" s="50"/>
      <c r="E33" s="50"/>
      <c r="F33" s="50"/>
      <c r="G33" s="50"/>
    </row>
    <row r="34" spans="3:7" x14ac:dyDescent="0.3">
      <c r="C34" s="50"/>
      <c r="D34" s="50"/>
      <c r="E34" s="50"/>
      <c r="F34" s="50"/>
      <c r="G34" s="50"/>
    </row>
    <row r="35" spans="3:7" x14ac:dyDescent="0.3">
      <c r="C35" s="50"/>
      <c r="D35" s="50"/>
      <c r="E35" s="50"/>
      <c r="F35" s="50"/>
      <c r="G35" s="50"/>
    </row>
    <row r="36" spans="3:7" x14ac:dyDescent="0.3">
      <c r="C36" s="50"/>
      <c r="D36" s="50"/>
      <c r="E36" s="50"/>
      <c r="F36" s="50"/>
      <c r="G36" s="50"/>
    </row>
    <row r="37" spans="3:7" x14ac:dyDescent="0.3">
      <c r="C37" s="50"/>
      <c r="D37" s="50"/>
      <c r="E37" s="50"/>
      <c r="F37" s="50"/>
      <c r="G37" s="50"/>
    </row>
    <row r="38" spans="3:7" x14ac:dyDescent="0.3">
      <c r="C38" s="50"/>
      <c r="D38" s="50"/>
      <c r="E38" s="50"/>
      <c r="F38" s="50"/>
      <c r="G38" s="50"/>
    </row>
    <row r="39" spans="3:7" x14ac:dyDescent="0.3">
      <c r="C39" s="50"/>
      <c r="D39" s="50"/>
      <c r="E39" s="50"/>
      <c r="F39" s="50"/>
      <c r="G39" s="50"/>
    </row>
    <row r="40" spans="3:7" x14ac:dyDescent="0.3">
      <c r="C40" s="50"/>
      <c r="D40" s="50"/>
      <c r="E40" s="50"/>
      <c r="F40" s="50"/>
      <c r="G40" s="50"/>
    </row>
    <row r="41" spans="3:7" x14ac:dyDescent="0.3">
      <c r="C41" s="50"/>
      <c r="D41" s="50"/>
      <c r="E41" s="50"/>
      <c r="F41" s="50"/>
      <c r="G41" s="50"/>
    </row>
    <row r="42" spans="3:7" x14ac:dyDescent="0.3">
      <c r="C42" s="50"/>
      <c r="D42" s="50"/>
      <c r="E42" s="50"/>
      <c r="F42" s="50"/>
      <c r="G42" s="50"/>
    </row>
    <row r="43" spans="3:7" x14ac:dyDescent="0.3">
      <c r="C43" s="50"/>
      <c r="D43" s="50"/>
      <c r="E43" s="50"/>
      <c r="F43" s="50"/>
      <c r="G43" s="50"/>
    </row>
    <row r="44" spans="3:7" x14ac:dyDescent="0.3">
      <c r="C44" s="50"/>
      <c r="D44" s="50"/>
      <c r="E44" s="50"/>
      <c r="F44" s="50"/>
      <c r="G44" s="50"/>
    </row>
    <row r="45" spans="3:7" x14ac:dyDescent="0.3">
      <c r="C45" s="50"/>
      <c r="D45" s="50"/>
      <c r="E45" s="50"/>
      <c r="F45" s="50"/>
      <c r="G45" s="50"/>
    </row>
    <row r="46" spans="3:7" x14ac:dyDescent="0.3">
      <c r="C46" s="50"/>
      <c r="D46" s="50"/>
      <c r="E46" s="50"/>
      <c r="F46" s="50"/>
      <c r="G46" s="50"/>
    </row>
    <row r="47" spans="3:7" x14ac:dyDescent="0.3">
      <c r="C47" s="50"/>
      <c r="D47" s="50"/>
      <c r="E47" s="50"/>
      <c r="F47" s="50"/>
      <c r="G47" s="50"/>
    </row>
    <row r="48" spans="3:7" x14ac:dyDescent="0.3">
      <c r="C48" s="50"/>
      <c r="D48" s="50"/>
      <c r="E48" s="50"/>
      <c r="F48" s="50"/>
      <c r="G48" s="50"/>
    </row>
    <row r="49" spans="3:7" x14ac:dyDescent="0.3">
      <c r="C49" s="50"/>
      <c r="D49" s="50"/>
      <c r="E49" s="50"/>
      <c r="F49" s="50"/>
      <c r="G49" s="50"/>
    </row>
    <row r="50" spans="3:7" x14ac:dyDescent="0.3">
      <c r="C50" s="50"/>
      <c r="D50" s="50"/>
      <c r="E50" s="50"/>
      <c r="F50" s="50"/>
      <c r="G50" s="50"/>
    </row>
    <row r="51" spans="3:7" x14ac:dyDescent="0.3">
      <c r="C51" s="50"/>
      <c r="D51" s="50"/>
      <c r="E51" s="50"/>
      <c r="F51" s="50"/>
      <c r="G51" s="50"/>
    </row>
    <row r="52" spans="3:7" x14ac:dyDescent="0.3">
      <c r="C52" s="50"/>
      <c r="D52" s="50"/>
      <c r="E52" s="50"/>
      <c r="F52" s="50"/>
      <c r="G52" s="50"/>
    </row>
    <row r="53" spans="3:7" x14ac:dyDescent="0.3">
      <c r="C53" s="50"/>
      <c r="D53" s="50"/>
      <c r="E53" s="50"/>
      <c r="F53" s="50"/>
      <c r="G53" s="50"/>
    </row>
    <row r="54" spans="3:7" x14ac:dyDescent="0.3">
      <c r="C54" s="50"/>
      <c r="D54" s="50"/>
      <c r="E54" s="50"/>
      <c r="F54" s="50"/>
      <c r="G54" s="50"/>
    </row>
    <row r="55" spans="3:7" x14ac:dyDescent="0.3">
      <c r="C55" s="50"/>
      <c r="D55" s="50"/>
      <c r="E55" s="50"/>
      <c r="F55" s="50"/>
      <c r="G55" s="50"/>
    </row>
    <row r="56" spans="3:7" x14ac:dyDescent="0.3">
      <c r="C56" s="50"/>
      <c r="D56" s="50"/>
      <c r="E56" s="50"/>
      <c r="F56" s="50"/>
      <c r="G56" s="50"/>
    </row>
    <row r="57" spans="3:7" x14ac:dyDescent="0.3">
      <c r="C57" s="50"/>
      <c r="D57" s="50"/>
      <c r="E57" s="50"/>
      <c r="F57" s="50"/>
      <c r="G57" s="50"/>
    </row>
    <row r="58" spans="3:7" x14ac:dyDescent="0.3">
      <c r="C58" s="50"/>
      <c r="D58" s="50"/>
      <c r="E58" s="50"/>
      <c r="F58" s="50"/>
      <c r="G58" s="50"/>
    </row>
    <row r="59" spans="3:7" x14ac:dyDescent="0.3">
      <c r="C59" s="50"/>
      <c r="D59" s="50"/>
      <c r="E59" s="50"/>
      <c r="F59" s="50"/>
      <c r="G59" s="50"/>
    </row>
    <row r="60" spans="3:7" x14ac:dyDescent="0.3">
      <c r="C60" s="50"/>
      <c r="D60" s="50"/>
      <c r="E60" s="50"/>
      <c r="F60" s="50"/>
      <c r="G60" s="50"/>
    </row>
    <row r="61" spans="3:7" x14ac:dyDescent="0.3">
      <c r="C61" s="50"/>
      <c r="D61" s="50"/>
      <c r="E61" s="50"/>
      <c r="F61" s="50"/>
      <c r="G61" s="50"/>
    </row>
    <row r="62" spans="3:7" x14ac:dyDescent="0.3">
      <c r="C62" s="50"/>
      <c r="D62" s="50"/>
      <c r="E62" s="50"/>
      <c r="F62" s="50"/>
      <c r="G62" s="50"/>
    </row>
    <row r="63" spans="3:7" x14ac:dyDescent="0.3">
      <c r="C63" s="50"/>
      <c r="D63" s="50"/>
      <c r="E63" s="50"/>
      <c r="F63" s="50"/>
      <c r="G63" s="50"/>
    </row>
    <row r="64" spans="3:7" x14ac:dyDescent="0.3">
      <c r="C64" s="50"/>
      <c r="D64" s="50"/>
      <c r="E64" s="50"/>
      <c r="F64" s="50"/>
      <c r="G64" s="50"/>
    </row>
    <row r="65" spans="3:7" x14ac:dyDescent="0.3">
      <c r="C65" s="50"/>
      <c r="D65" s="50"/>
      <c r="E65" s="50"/>
      <c r="F65" s="50"/>
      <c r="G65" s="50"/>
    </row>
    <row r="66" spans="3:7" x14ac:dyDescent="0.3">
      <c r="C66" s="50"/>
      <c r="D66" s="50"/>
      <c r="E66" s="50"/>
      <c r="F66" s="50"/>
      <c r="G66" s="50"/>
    </row>
    <row r="67" spans="3:7" x14ac:dyDescent="0.3">
      <c r="C67" s="50"/>
      <c r="D67" s="50"/>
      <c r="E67" s="50"/>
      <c r="F67" s="50"/>
      <c r="G67" s="50"/>
    </row>
  </sheetData>
  <mergeCells count="1">
    <mergeCell ref="D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70E5-E47D-4D31-A161-6478F87654FE}">
  <sheetPr>
    <tabColor rgb="FF00B050"/>
  </sheetPr>
  <dimension ref="A1:P83"/>
  <sheetViews>
    <sheetView workbookViewId="0">
      <selection activeCell="B4" sqref="B4"/>
    </sheetView>
  </sheetViews>
  <sheetFormatPr defaultRowHeight="14.4" x14ac:dyDescent="0.3"/>
  <cols>
    <col min="1" max="1" width="19" bestFit="1" customWidth="1"/>
    <col min="2" max="2" width="7.5546875" bestFit="1" customWidth="1"/>
    <col min="4" max="4" width="19.44140625" bestFit="1" customWidth="1"/>
    <col min="5" max="7" width="12" bestFit="1" customWidth="1"/>
    <col min="10" max="10" width="1.44140625" bestFit="1" customWidth="1"/>
    <col min="15" max="16" width="9.6640625" bestFit="1" customWidth="1"/>
  </cols>
  <sheetData>
    <row r="1" spans="1:16" ht="21" x14ac:dyDescent="0.4">
      <c r="D1" s="109" t="s">
        <v>177</v>
      </c>
      <c r="E1" s="109"/>
    </row>
    <row r="4" spans="1:16" x14ac:dyDescent="0.3">
      <c r="A4" s="6" t="s">
        <v>0</v>
      </c>
      <c r="B4" s="7" t="s">
        <v>191</v>
      </c>
    </row>
    <row r="5" spans="1:16" x14ac:dyDescent="0.3">
      <c r="D5" s="8" t="s">
        <v>128</v>
      </c>
      <c r="E5" s="8">
        <v>1</v>
      </c>
      <c r="F5" s="8">
        <v>2</v>
      </c>
      <c r="G5" s="8">
        <v>3</v>
      </c>
    </row>
    <row r="6" spans="1:16" x14ac:dyDescent="0.3">
      <c r="D6" s="9">
        <f>Assumptions!G14</f>
        <v>44013</v>
      </c>
      <c r="E6" s="9">
        <f>EOMONTH(Assumptions!C5,11)</f>
        <v>44286</v>
      </c>
      <c r="F6" s="9">
        <f>EOMONTH(E6,12)</f>
        <v>44651</v>
      </c>
      <c r="G6" s="9">
        <f>EOMONTH(F6,12)</f>
        <v>45016</v>
      </c>
      <c r="O6" s="2"/>
    </row>
    <row r="8" spans="1:16" x14ac:dyDescent="0.3">
      <c r="A8" s="6" t="str">
        <f>'Capital Structure'!A9</f>
        <v>Kitchen Eq. &amp; Cutlery</v>
      </c>
      <c r="J8" t="s">
        <v>6</v>
      </c>
      <c r="P8" s="72"/>
    </row>
    <row r="9" spans="1:16" x14ac:dyDescent="0.3">
      <c r="A9" t="s">
        <v>123</v>
      </c>
      <c r="E9" s="50">
        <v>0</v>
      </c>
      <c r="F9" s="50">
        <f>E13</f>
        <v>2663424.6575342463</v>
      </c>
      <c r="G9" s="50">
        <f>F13</f>
        <v>2263910.9589041094</v>
      </c>
      <c r="H9" s="50"/>
    </row>
    <row r="10" spans="1:16" x14ac:dyDescent="0.3">
      <c r="A10" t="s">
        <v>124</v>
      </c>
      <c r="E10" s="50">
        <f>'Capital Structure'!D9</f>
        <v>3000000</v>
      </c>
      <c r="F10" s="50">
        <v>0</v>
      </c>
      <c r="G10" s="50">
        <v>0</v>
      </c>
      <c r="H10" s="50"/>
    </row>
    <row r="11" spans="1:16" x14ac:dyDescent="0.3">
      <c r="A11" t="s">
        <v>125</v>
      </c>
      <c r="E11" s="50">
        <v>0</v>
      </c>
      <c r="F11" s="50">
        <v>0</v>
      </c>
      <c r="G11" s="50">
        <v>0</v>
      </c>
      <c r="H11" s="50"/>
    </row>
    <row r="12" spans="1:16" x14ac:dyDescent="0.3">
      <c r="A12" t="s">
        <v>126</v>
      </c>
      <c r="E12" s="74">
        <f>(E9+E10-E11)*Assumptions!$C$112*DATEDIF('Fixed Assets Schedule'!D$6,'Fixed Assets Schedule'!E$6,"d")/365</f>
        <v>336575.34246575343</v>
      </c>
      <c r="F12" s="74">
        <f>(F9+F10-F11)*Assumptions!$C$112*DATEDIF('Fixed Assets Schedule'!E$6,'Fixed Assets Schedule'!F$6,"d")/365</f>
        <v>399513.69863013696</v>
      </c>
      <c r="G12" s="74">
        <f>(G9+G10-G11)*Assumptions!$C$112*DATEDIF('Fixed Assets Schedule'!F$6,'Fixed Assets Schedule'!G$6,"d")/365</f>
        <v>339586.64383561641</v>
      </c>
      <c r="H12" s="74"/>
      <c r="L12" s="75"/>
    </row>
    <row r="13" spans="1:16" s="48" customFormat="1" ht="15" thickBot="1" x14ac:dyDescent="0.35">
      <c r="A13" s="48" t="s">
        <v>127</v>
      </c>
      <c r="E13" s="54">
        <f>E9+E10-E11-E12</f>
        <v>2663424.6575342463</v>
      </c>
      <c r="F13" s="54">
        <f t="shared" ref="F13:G13" si="0">F9+F10-F11-F12</f>
        <v>2263910.9589041094</v>
      </c>
      <c r="G13" s="54">
        <f t="shared" si="0"/>
        <v>1924324.3150684931</v>
      </c>
      <c r="H13" s="54"/>
    </row>
    <row r="14" spans="1:16" x14ac:dyDescent="0.3">
      <c r="E14" s="50"/>
      <c r="F14" s="50"/>
      <c r="G14" s="50"/>
      <c r="H14" s="50"/>
    </row>
    <row r="15" spans="1:16" x14ac:dyDescent="0.3">
      <c r="A15" s="6" t="str">
        <f>'Capital Structure'!A10</f>
        <v>Refrigeration</v>
      </c>
      <c r="E15" s="50"/>
      <c r="F15" s="50"/>
      <c r="G15" s="50"/>
      <c r="H15" s="50"/>
    </row>
    <row r="16" spans="1:16" x14ac:dyDescent="0.3">
      <c r="A16" t="s">
        <v>123</v>
      </c>
      <c r="E16" s="50">
        <v>0</v>
      </c>
      <c r="F16" s="50">
        <f>E20</f>
        <v>4439041.0958904112</v>
      </c>
      <c r="G16" s="50">
        <f>F20</f>
        <v>3773184.9315068494</v>
      </c>
      <c r="H16" s="50"/>
    </row>
    <row r="17" spans="1:8" x14ac:dyDescent="0.3">
      <c r="A17" t="s">
        <v>124</v>
      </c>
      <c r="E17" s="50">
        <f>'Capital Structure'!D10</f>
        <v>5000000</v>
      </c>
      <c r="F17" s="50"/>
      <c r="G17" s="50"/>
      <c r="H17" s="50"/>
    </row>
    <row r="18" spans="1:8" x14ac:dyDescent="0.3">
      <c r="A18" t="s">
        <v>125</v>
      </c>
      <c r="E18" s="50">
        <v>0</v>
      </c>
      <c r="F18" s="50">
        <v>0</v>
      </c>
      <c r="G18" s="50">
        <v>0</v>
      </c>
      <c r="H18" s="50"/>
    </row>
    <row r="19" spans="1:8" x14ac:dyDescent="0.3">
      <c r="A19" t="s">
        <v>126</v>
      </c>
      <c r="E19" s="74">
        <f>(E16+E17-E18)*Assumptions!$C$112*DATEDIF('Fixed Assets Schedule'!D$6,'Fixed Assets Schedule'!E$6,"d")/365</f>
        <v>560958.90410958906</v>
      </c>
      <c r="F19" s="74">
        <f>(F16+F17-F18)*Assumptions!$C$112*DATEDIF('Fixed Assets Schedule'!E$6,'Fixed Assets Schedule'!F$6,"d")/365</f>
        <v>665856.1643835617</v>
      </c>
      <c r="G19" s="74">
        <f>(G16+G17-G18)*Assumptions!$C$112*DATEDIF('Fixed Assets Schedule'!F$6,'Fixed Assets Schedule'!G$6,"d")/365</f>
        <v>565977.73972602736</v>
      </c>
      <c r="H19" s="50"/>
    </row>
    <row r="20" spans="1:8" s="48" customFormat="1" ht="15" thickBot="1" x14ac:dyDescent="0.35">
      <c r="A20" s="48" t="s">
        <v>127</v>
      </c>
      <c r="E20" s="54">
        <f>E16+E17-E18-E19</f>
        <v>4439041.0958904112</v>
      </c>
      <c r="F20" s="54">
        <f t="shared" ref="F20:G20" si="1">F16+F17-F18-F19</f>
        <v>3773184.9315068494</v>
      </c>
      <c r="G20" s="54">
        <f t="shared" si="1"/>
        <v>3207207.1917808219</v>
      </c>
      <c r="H20" s="54"/>
    </row>
    <row r="21" spans="1:8" x14ac:dyDescent="0.3">
      <c r="E21" s="50"/>
      <c r="F21" s="50"/>
      <c r="G21" s="50"/>
      <c r="H21" s="50"/>
    </row>
    <row r="22" spans="1:8" x14ac:dyDescent="0.3">
      <c r="A22" s="6" t="str">
        <f>'Capital Structure'!A11</f>
        <v>Furniture</v>
      </c>
      <c r="E22" s="50"/>
      <c r="F22" s="50"/>
      <c r="G22" s="50"/>
      <c r="H22" s="50"/>
    </row>
    <row r="23" spans="1:8" x14ac:dyDescent="0.3">
      <c r="A23" t="s">
        <v>123</v>
      </c>
      <c r="E23" s="50">
        <v>0</v>
      </c>
      <c r="F23" s="50">
        <f>E27</f>
        <v>4718547.9452054799</v>
      </c>
      <c r="G23" s="50">
        <f>F27</f>
        <v>4246693.1506849322</v>
      </c>
      <c r="H23" s="50"/>
    </row>
    <row r="24" spans="1:8" x14ac:dyDescent="0.3">
      <c r="A24" t="s">
        <v>124</v>
      </c>
      <c r="E24" s="50">
        <f>'Capital Structure'!D11</f>
        <v>5100000</v>
      </c>
      <c r="F24" s="50"/>
      <c r="G24" s="50"/>
      <c r="H24" s="50"/>
    </row>
    <row r="25" spans="1:8" x14ac:dyDescent="0.3">
      <c r="A25" t="s">
        <v>125</v>
      </c>
      <c r="E25" s="50">
        <v>0</v>
      </c>
      <c r="F25" s="50">
        <v>0</v>
      </c>
      <c r="G25" s="50">
        <v>0</v>
      </c>
      <c r="H25" s="50"/>
    </row>
    <row r="26" spans="1:8" x14ac:dyDescent="0.3">
      <c r="A26" t="s">
        <v>126</v>
      </c>
      <c r="E26" s="74">
        <f>(E23+E24-E25)*Assumptions!$C$113*DATEDIF('Fixed Assets Schedule'!D$6,'Fixed Assets Schedule'!E$6,"d")/365</f>
        <v>381452.05479452055</v>
      </c>
      <c r="F26" s="74">
        <f>(F23+F24-F25)*Assumptions!$C$113*DATEDIF('Fixed Assets Schedule'!E$6,'Fixed Assets Schedule'!F$6,"d")/365</f>
        <v>471854.79452054802</v>
      </c>
      <c r="G26" s="74">
        <f>(G23+G24-G25)*Assumptions!$C$113*DATEDIF('Fixed Assets Schedule'!F$6,'Fixed Assets Schedule'!G$6,"d")/365</f>
        <v>424669.31506849325</v>
      </c>
      <c r="H26" s="50"/>
    </row>
    <row r="27" spans="1:8" s="48" customFormat="1" ht="15" thickBot="1" x14ac:dyDescent="0.35">
      <c r="A27" s="48" t="s">
        <v>127</v>
      </c>
      <c r="E27" s="54">
        <f>E23+E24-E25-E26</f>
        <v>4718547.9452054799</v>
      </c>
      <c r="F27" s="54">
        <f>F23+F24-F25-F26</f>
        <v>4246693.1506849322</v>
      </c>
      <c r="G27" s="54">
        <f>G23+G24-G25-G26</f>
        <v>3822023.8356164391</v>
      </c>
      <c r="H27" s="54"/>
    </row>
    <row r="28" spans="1:8" x14ac:dyDescent="0.3">
      <c r="E28" s="50"/>
      <c r="F28" s="50"/>
      <c r="G28" s="50"/>
      <c r="H28" s="50"/>
    </row>
    <row r="29" spans="1:8" x14ac:dyDescent="0.3">
      <c r="E29" s="50"/>
      <c r="F29" s="50"/>
      <c r="G29" s="50"/>
      <c r="H29" s="50"/>
    </row>
    <row r="30" spans="1:8" x14ac:dyDescent="0.3">
      <c r="A30" s="6" t="str">
        <f>'Capital Structure'!A12</f>
        <v>Restaurants Décor</v>
      </c>
      <c r="E30" s="50"/>
      <c r="F30" s="50"/>
      <c r="G30" s="50"/>
      <c r="H30" s="50"/>
    </row>
    <row r="31" spans="1:8" x14ac:dyDescent="0.3">
      <c r="A31" t="s">
        <v>123</v>
      </c>
      <c r="E31" s="50">
        <v>0</v>
      </c>
      <c r="F31" s="50">
        <f>E35</f>
        <v>5551232.8767123288</v>
      </c>
      <c r="G31" s="50">
        <f>F35</f>
        <v>4996109.5890410962</v>
      </c>
      <c r="H31" s="50"/>
    </row>
    <row r="32" spans="1:8" x14ac:dyDescent="0.3">
      <c r="A32" t="s">
        <v>124</v>
      </c>
      <c r="E32" s="50">
        <f>'Capital Structure'!D12</f>
        <v>6000000</v>
      </c>
      <c r="F32" s="50"/>
      <c r="G32" s="50"/>
      <c r="H32" s="50"/>
    </row>
    <row r="33" spans="1:8" x14ac:dyDescent="0.3">
      <c r="A33" t="s">
        <v>125</v>
      </c>
      <c r="E33" s="50">
        <v>0</v>
      </c>
      <c r="F33" s="50">
        <v>0</v>
      </c>
      <c r="G33" s="50">
        <v>0</v>
      </c>
      <c r="H33" s="50"/>
    </row>
    <row r="34" spans="1:8" x14ac:dyDescent="0.3">
      <c r="A34" t="s">
        <v>126</v>
      </c>
      <c r="E34" s="74">
        <f>(E31+E32-E33)*Assumptions!$C$113*DATEDIF('Fixed Assets Schedule'!D$6,'Fixed Assets Schedule'!E$6,"d")/365</f>
        <v>448767.12328767125</v>
      </c>
      <c r="F34" s="74">
        <f>(F31+F32-F33)*Assumptions!$C$113*DATEDIF('Fixed Assets Schedule'!E$6,'Fixed Assets Schedule'!F$6,"d")/365</f>
        <v>555123.28767123295</v>
      </c>
      <c r="G34" s="74">
        <f>(G31+G32-G33)*Assumptions!$C$113*DATEDIF('Fixed Assets Schedule'!F$6,'Fixed Assets Schedule'!G$6,"d")/365</f>
        <v>499610.95890410966</v>
      </c>
      <c r="H34" s="50"/>
    </row>
    <row r="35" spans="1:8" s="48" customFormat="1" ht="15" thickBot="1" x14ac:dyDescent="0.35">
      <c r="A35" s="48" t="s">
        <v>127</v>
      </c>
      <c r="E35" s="54">
        <f>E31+E32-E33-E34</f>
        <v>5551232.8767123288</v>
      </c>
      <c r="F35" s="54">
        <f t="shared" ref="F35:G35" si="2">F31+F32-F33-F34</f>
        <v>4996109.5890410962</v>
      </c>
      <c r="G35" s="54">
        <f t="shared" si="2"/>
        <v>4496498.6301369863</v>
      </c>
      <c r="H35" s="54"/>
    </row>
    <row r="36" spans="1:8" x14ac:dyDescent="0.3">
      <c r="E36" s="50"/>
      <c r="F36" s="50"/>
      <c r="G36" s="50"/>
      <c r="H36" s="50"/>
    </row>
    <row r="37" spans="1:8" x14ac:dyDescent="0.3">
      <c r="E37" s="50"/>
      <c r="F37" s="50"/>
      <c r="G37" s="50"/>
      <c r="H37" s="50"/>
    </row>
    <row r="38" spans="1:8" x14ac:dyDescent="0.3">
      <c r="E38" s="50"/>
      <c r="F38" s="50"/>
      <c r="G38" s="50"/>
      <c r="H38" s="50"/>
    </row>
    <row r="39" spans="1:8" s="71" customFormat="1" x14ac:dyDescent="0.3">
      <c r="A39" s="71" t="s">
        <v>104</v>
      </c>
      <c r="E39" s="73"/>
      <c r="F39" s="73"/>
      <c r="G39" s="73"/>
      <c r="H39" s="73"/>
    </row>
    <row r="40" spans="1:8" x14ac:dyDescent="0.3">
      <c r="E40" s="50"/>
      <c r="F40" s="50"/>
      <c r="G40" s="50"/>
      <c r="H40" s="50"/>
    </row>
    <row r="41" spans="1:8" x14ac:dyDescent="0.3">
      <c r="E41" s="50"/>
      <c r="F41" s="50"/>
      <c r="G41" s="50"/>
      <c r="H41" s="50"/>
    </row>
    <row r="42" spans="1:8" x14ac:dyDescent="0.3">
      <c r="E42" s="50"/>
      <c r="F42" s="50"/>
      <c r="G42" s="50"/>
      <c r="H42" s="50"/>
    </row>
    <row r="43" spans="1:8" x14ac:dyDescent="0.3">
      <c r="E43" s="50"/>
      <c r="F43" s="50"/>
      <c r="G43" s="50"/>
      <c r="H43" s="50"/>
    </row>
    <row r="44" spans="1:8" x14ac:dyDescent="0.3">
      <c r="E44" s="50"/>
      <c r="F44" s="50"/>
      <c r="G44" s="50"/>
      <c r="H44" s="50"/>
    </row>
    <row r="45" spans="1:8" x14ac:dyDescent="0.3">
      <c r="E45" s="50"/>
      <c r="F45" s="50"/>
      <c r="G45" s="50"/>
      <c r="H45" s="50"/>
    </row>
    <row r="46" spans="1:8" x14ac:dyDescent="0.3">
      <c r="E46" s="50"/>
      <c r="F46" s="50"/>
      <c r="G46" s="50"/>
      <c r="H46" s="50"/>
    </row>
    <row r="47" spans="1:8" x14ac:dyDescent="0.3">
      <c r="E47" s="50"/>
      <c r="F47" s="50"/>
      <c r="G47" s="50"/>
      <c r="H47" s="50"/>
    </row>
    <row r="48" spans="1:8" x14ac:dyDescent="0.3">
      <c r="E48" s="50"/>
      <c r="F48" s="50"/>
      <c r="G48" s="50"/>
      <c r="H48" s="50"/>
    </row>
    <row r="49" spans="5:8" x14ac:dyDescent="0.3">
      <c r="E49" s="50"/>
      <c r="F49" s="50"/>
      <c r="G49" s="50"/>
      <c r="H49" s="50"/>
    </row>
    <row r="50" spans="5:8" x14ac:dyDescent="0.3">
      <c r="E50" s="50"/>
      <c r="F50" s="50"/>
      <c r="G50" s="50"/>
      <c r="H50" s="50"/>
    </row>
    <row r="51" spans="5:8" x14ac:dyDescent="0.3">
      <c r="E51" s="50"/>
      <c r="F51" s="50"/>
      <c r="G51" s="50"/>
      <c r="H51" s="50"/>
    </row>
    <row r="52" spans="5:8" x14ac:dyDescent="0.3">
      <c r="E52" s="50"/>
      <c r="F52" s="50"/>
      <c r="G52" s="50"/>
      <c r="H52" s="50"/>
    </row>
    <row r="53" spans="5:8" x14ac:dyDescent="0.3">
      <c r="E53" s="50"/>
      <c r="F53" s="50"/>
      <c r="G53" s="50"/>
      <c r="H53" s="50"/>
    </row>
    <row r="54" spans="5:8" x14ac:dyDescent="0.3">
      <c r="E54" s="50"/>
      <c r="F54" s="50"/>
      <c r="G54" s="50"/>
      <c r="H54" s="50"/>
    </row>
    <row r="55" spans="5:8" x14ac:dyDescent="0.3">
      <c r="E55" s="50"/>
      <c r="F55" s="50"/>
      <c r="G55" s="50"/>
      <c r="H55" s="50"/>
    </row>
    <row r="56" spans="5:8" x14ac:dyDescent="0.3">
      <c r="E56" s="50"/>
      <c r="F56" s="50"/>
      <c r="G56" s="50"/>
      <c r="H56" s="50"/>
    </row>
    <row r="57" spans="5:8" x14ac:dyDescent="0.3">
      <c r="E57" s="50"/>
      <c r="F57" s="50"/>
      <c r="G57" s="50"/>
      <c r="H57" s="50"/>
    </row>
    <row r="58" spans="5:8" x14ac:dyDescent="0.3">
      <c r="E58" s="50"/>
      <c r="F58" s="50"/>
      <c r="G58" s="50"/>
      <c r="H58" s="50"/>
    </row>
    <row r="59" spans="5:8" x14ac:dyDescent="0.3">
      <c r="E59" s="50"/>
      <c r="F59" s="50"/>
      <c r="G59" s="50"/>
      <c r="H59" s="50"/>
    </row>
    <row r="60" spans="5:8" x14ac:dyDescent="0.3">
      <c r="E60" s="50"/>
      <c r="F60" s="50"/>
      <c r="G60" s="50"/>
      <c r="H60" s="50"/>
    </row>
    <row r="61" spans="5:8" x14ac:dyDescent="0.3">
      <c r="E61" s="50"/>
      <c r="F61" s="50"/>
      <c r="G61" s="50"/>
      <c r="H61" s="50"/>
    </row>
    <row r="62" spans="5:8" x14ac:dyDescent="0.3">
      <c r="E62" s="50"/>
      <c r="F62" s="50"/>
      <c r="G62" s="50"/>
      <c r="H62" s="50"/>
    </row>
    <row r="63" spans="5:8" x14ac:dyDescent="0.3">
      <c r="E63" s="50"/>
      <c r="F63" s="50"/>
      <c r="G63" s="50"/>
      <c r="H63" s="50"/>
    </row>
    <row r="64" spans="5:8" x14ac:dyDescent="0.3">
      <c r="E64" s="50"/>
      <c r="F64" s="50"/>
      <c r="G64" s="50"/>
      <c r="H64" s="50"/>
    </row>
    <row r="65" spans="5:8" x14ac:dyDescent="0.3">
      <c r="E65" s="50"/>
      <c r="F65" s="50"/>
      <c r="G65" s="50"/>
      <c r="H65" s="50"/>
    </row>
    <row r="66" spans="5:8" x14ac:dyDescent="0.3">
      <c r="E66" s="50"/>
      <c r="F66" s="50"/>
      <c r="G66" s="50"/>
      <c r="H66" s="50"/>
    </row>
    <row r="67" spans="5:8" x14ac:dyDescent="0.3">
      <c r="E67" s="50"/>
      <c r="F67" s="50"/>
      <c r="G67" s="50"/>
      <c r="H67" s="50"/>
    </row>
    <row r="68" spans="5:8" x14ac:dyDescent="0.3">
      <c r="E68" s="50"/>
      <c r="F68" s="50"/>
      <c r="G68" s="50"/>
      <c r="H68" s="50"/>
    </row>
    <row r="69" spans="5:8" x14ac:dyDescent="0.3">
      <c r="E69" s="50"/>
      <c r="F69" s="50"/>
      <c r="G69" s="50"/>
      <c r="H69" s="50"/>
    </row>
    <row r="70" spans="5:8" x14ac:dyDescent="0.3">
      <c r="E70" s="50"/>
      <c r="F70" s="50"/>
      <c r="G70" s="50"/>
      <c r="H70" s="50"/>
    </row>
    <row r="71" spans="5:8" x14ac:dyDescent="0.3">
      <c r="E71" s="50"/>
      <c r="F71" s="50"/>
      <c r="G71" s="50"/>
      <c r="H71" s="50"/>
    </row>
    <row r="72" spans="5:8" x14ac:dyDescent="0.3">
      <c r="E72" s="50"/>
      <c r="F72" s="50"/>
      <c r="G72" s="50"/>
      <c r="H72" s="50"/>
    </row>
    <row r="73" spans="5:8" x14ac:dyDescent="0.3">
      <c r="E73" s="50"/>
      <c r="F73" s="50"/>
      <c r="G73" s="50"/>
      <c r="H73" s="50"/>
    </row>
    <row r="74" spans="5:8" x14ac:dyDescent="0.3">
      <c r="E74" s="50"/>
      <c r="F74" s="50"/>
      <c r="G74" s="50"/>
      <c r="H74" s="50"/>
    </row>
    <row r="75" spans="5:8" x14ac:dyDescent="0.3">
      <c r="E75" s="50"/>
      <c r="F75" s="50"/>
      <c r="G75" s="50"/>
      <c r="H75" s="50"/>
    </row>
    <row r="76" spans="5:8" x14ac:dyDescent="0.3">
      <c r="E76" s="50"/>
      <c r="F76" s="50"/>
      <c r="G76" s="50"/>
      <c r="H76" s="50"/>
    </row>
    <row r="77" spans="5:8" x14ac:dyDescent="0.3">
      <c r="E77" s="50"/>
      <c r="F77" s="50"/>
      <c r="G77" s="50"/>
      <c r="H77" s="50"/>
    </row>
    <row r="78" spans="5:8" x14ac:dyDescent="0.3">
      <c r="E78" s="50"/>
      <c r="F78" s="50"/>
      <c r="G78" s="50"/>
      <c r="H78" s="50"/>
    </row>
    <row r="79" spans="5:8" x14ac:dyDescent="0.3">
      <c r="E79" s="50"/>
      <c r="F79" s="50"/>
      <c r="G79" s="50"/>
      <c r="H79" s="50"/>
    </row>
    <row r="80" spans="5:8" x14ac:dyDescent="0.3">
      <c r="E80" s="50"/>
      <c r="F80" s="50"/>
      <c r="G80" s="50"/>
      <c r="H80" s="50"/>
    </row>
    <row r="81" spans="5:8" x14ac:dyDescent="0.3">
      <c r="E81" s="50"/>
      <c r="F81" s="50"/>
      <c r="G81" s="50"/>
      <c r="H81" s="50"/>
    </row>
    <row r="82" spans="5:8" x14ac:dyDescent="0.3">
      <c r="E82" s="50"/>
      <c r="F82" s="50"/>
      <c r="G82" s="50"/>
      <c r="H82" s="50"/>
    </row>
    <row r="83" spans="5:8" x14ac:dyDescent="0.3">
      <c r="E83" s="50"/>
      <c r="F83" s="50"/>
      <c r="G83" s="50"/>
      <c r="H83" s="50"/>
    </row>
  </sheetData>
  <mergeCells count="1"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63F6-214C-46A0-80E6-7B02CB61F582}">
  <sheetPr>
    <tabColor rgb="FF00B050"/>
  </sheetPr>
  <dimension ref="A1:H30"/>
  <sheetViews>
    <sheetView workbookViewId="0">
      <selection activeCell="B4" sqref="B4"/>
    </sheetView>
  </sheetViews>
  <sheetFormatPr defaultRowHeight="14.4" x14ac:dyDescent="0.3"/>
  <cols>
    <col min="1" max="1" width="24.21875" bestFit="1" customWidth="1"/>
    <col min="2" max="2" width="7.5546875" bestFit="1" customWidth="1"/>
    <col min="5" max="7" width="12.6640625" bestFit="1" customWidth="1"/>
  </cols>
  <sheetData>
    <row r="1" spans="1:8" ht="21" x14ac:dyDescent="0.4">
      <c r="D1" s="109" t="s">
        <v>178</v>
      </c>
      <c r="E1" s="109"/>
    </row>
    <row r="4" spans="1:8" x14ac:dyDescent="0.3">
      <c r="A4" s="1" t="s">
        <v>0</v>
      </c>
      <c r="B4" s="1" t="s">
        <v>191</v>
      </c>
    </row>
    <row r="5" spans="1:8" x14ac:dyDescent="0.3">
      <c r="E5" s="8">
        <v>1</v>
      </c>
      <c r="F5" s="8">
        <v>2</v>
      </c>
      <c r="G5" s="8">
        <v>3</v>
      </c>
    </row>
    <row r="6" spans="1:8" x14ac:dyDescent="0.3">
      <c r="E6" s="9">
        <f>EOMONTH(Assumptions!C5,11)</f>
        <v>44286</v>
      </c>
      <c r="F6" s="9">
        <f>EOMONTH(E6,12)</f>
        <v>44651</v>
      </c>
      <c r="G6" s="9">
        <f>EOMONTH(F6,12)</f>
        <v>45016</v>
      </c>
    </row>
    <row r="7" spans="1:8" x14ac:dyDescent="0.3">
      <c r="A7" s="6" t="s">
        <v>129</v>
      </c>
    </row>
    <row r="8" spans="1:8" x14ac:dyDescent="0.3">
      <c r="A8" t="str">
        <f>Assumptions!A104</f>
        <v>Alcoholic Beverages</v>
      </c>
      <c r="E8" s="50">
        <f>'Monthly P&amp;L'!P15/30*Assumptions!$B104</f>
        <v>279222.255066799</v>
      </c>
      <c r="F8" s="50">
        <f>'Monthly P&amp;L'!AB15/30*Assumptions!$B104</f>
        <v>415345.33029475884</v>
      </c>
      <c r="G8" s="50">
        <f>'Monthly P&amp;L'!AN15/30*Assumptions!$B104</f>
        <v>578368.24648853322</v>
      </c>
      <c r="H8" s="50"/>
    </row>
    <row r="9" spans="1:8" x14ac:dyDescent="0.3">
      <c r="A9" t="str">
        <f>Assumptions!A105</f>
        <v>Non-Alcoholic Beverages</v>
      </c>
      <c r="E9" s="50">
        <f>'Monthly P&amp;L'!P16/30*Assumptions!$B105</f>
        <v>77393.948108251047</v>
      </c>
      <c r="F9" s="50">
        <f>'Monthly P&amp;L'!AB16/30*Assumptions!$B105</f>
        <v>112779.36186745521</v>
      </c>
      <c r="G9" s="50">
        <f>'Monthly P&amp;L'!AN16/30*Assumptions!$B105</f>
        <v>155842.5180381361</v>
      </c>
      <c r="H9" s="50"/>
    </row>
    <row r="10" spans="1:8" x14ac:dyDescent="0.3">
      <c r="A10" t="str">
        <f>Assumptions!A106</f>
        <v>Food</v>
      </c>
      <c r="E10" s="50">
        <f>'Monthly P&amp;L'!P17/30*Assumptions!$B106</f>
        <v>92636.72798409799</v>
      </c>
      <c r="F10" s="50">
        <f>'Monthly P&amp;L'!AB17/30*Assumptions!$B106</f>
        <v>134072.16443376377</v>
      </c>
      <c r="G10" s="50">
        <f>'Monthly P&amp;L'!AN17/30*Assumptions!$B106</f>
        <v>184880.64754767012</v>
      </c>
      <c r="H10" s="50"/>
    </row>
    <row r="11" spans="1:8" s="48" customFormat="1" ht="15" thickBot="1" x14ac:dyDescent="0.35">
      <c r="A11" s="48" t="s">
        <v>59</v>
      </c>
      <c r="E11" s="54">
        <f>SUM(E8:E10)</f>
        <v>449252.93115914799</v>
      </c>
      <c r="F11" s="54">
        <f t="shared" ref="F11:G11" si="0">SUM(F8:F10)</f>
        <v>662196.85659597791</v>
      </c>
      <c r="G11" s="54">
        <f t="shared" si="0"/>
        <v>919091.41207433934</v>
      </c>
      <c r="H11" s="54"/>
    </row>
    <row r="12" spans="1:8" x14ac:dyDescent="0.3">
      <c r="E12" s="50"/>
      <c r="F12" s="50"/>
      <c r="G12" s="50"/>
      <c r="H12" s="50"/>
    </row>
    <row r="13" spans="1:8" x14ac:dyDescent="0.3">
      <c r="E13" s="50"/>
      <c r="F13" s="50"/>
      <c r="G13" s="50"/>
      <c r="H13" s="50"/>
    </row>
    <row r="14" spans="1:8" x14ac:dyDescent="0.3">
      <c r="A14" s="6" t="s">
        <v>130</v>
      </c>
      <c r="E14" s="50"/>
      <c r="F14" s="50"/>
      <c r="G14" s="50"/>
      <c r="H14" s="50"/>
    </row>
    <row r="15" spans="1:8" x14ac:dyDescent="0.3">
      <c r="A15" t="str">
        <f>Assumptions!A107</f>
        <v>Creditor for R/Mtrls</v>
      </c>
      <c r="E15" s="50">
        <f>'Monthly P&amp;L'!P32/30*Assumptions!B108</f>
        <v>1045753.085502069</v>
      </c>
      <c r="F15" s="50">
        <f>'Monthly P&amp;L'!AB32/30*Assumptions!B108</f>
        <v>1369277.2849038555</v>
      </c>
      <c r="G15" s="50">
        <f>'Monthly P&amp;L'!AN32/30*Assumptions!B108</f>
        <v>1757930.3585579735</v>
      </c>
      <c r="H15" s="50"/>
    </row>
    <row r="16" spans="1:8" x14ac:dyDescent="0.3">
      <c r="A16" t="s">
        <v>133</v>
      </c>
      <c r="E16" s="50"/>
      <c r="F16" s="50"/>
      <c r="G16" s="50"/>
      <c r="H16" s="50"/>
    </row>
    <row r="17" spans="1:8" x14ac:dyDescent="0.3">
      <c r="A17" s="76" t="s">
        <v>21</v>
      </c>
      <c r="E17" s="50">
        <f>'Monthly P&amp;L'!P15/30*Assumptions!B$107</f>
        <v>279222.255066799</v>
      </c>
      <c r="F17" s="50">
        <f>'Monthly P&amp;L'!AB15/30*Assumptions!B$107</f>
        <v>415345.33029475884</v>
      </c>
      <c r="G17" s="50">
        <f>'Monthly P&amp;L'!AN15/30*Assumptions!B$107</f>
        <v>578368.24648853322</v>
      </c>
      <c r="H17" s="50"/>
    </row>
    <row r="18" spans="1:8" x14ac:dyDescent="0.3">
      <c r="A18" s="76" t="s">
        <v>131</v>
      </c>
      <c r="E18" s="50">
        <f>'Monthly P&amp;L'!P16/30*Assumptions!B$107</f>
        <v>154787.89621650209</v>
      </c>
      <c r="F18" s="50">
        <f>'Monthly P&amp;L'!AB16/30*Assumptions!B$107</f>
        <v>225558.72373491043</v>
      </c>
      <c r="G18" s="50">
        <f>'Monthly P&amp;L'!AN16/30*Assumptions!B$107</f>
        <v>311685.0360762722</v>
      </c>
      <c r="H18" s="50"/>
    </row>
    <row r="19" spans="1:8" x14ac:dyDescent="0.3">
      <c r="A19" s="76" t="s">
        <v>23</v>
      </c>
      <c r="E19" s="50">
        <f>'Monthly P&amp;L'!P17/30*Assumptions!B$107</f>
        <v>555820.367904588</v>
      </c>
      <c r="F19" s="50">
        <f>'Monthly P&amp;L'!AB17/30*Assumptions!B$107</f>
        <v>804432.9866025825</v>
      </c>
      <c r="G19" s="50">
        <f>'Monthly P&amp;L'!AN17/30*Assumptions!B$107</f>
        <v>1109283.8852860208</v>
      </c>
      <c r="H19" s="50"/>
    </row>
    <row r="20" spans="1:8" s="48" customFormat="1" ht="15" thickBot="1" x14ac:dyDescent="0.35">
      <c r="A20" s="77" t="s">
        <v>59</v>
      </c>
      <c r="E20" s="54">
        <f>E15+E17+E18+E19</f>
        <v>2035583.604689958</v>
      </c>
      <c r="F20" s="54">
        <f t="shared" ref="F20:G20" si="1">F15+F17+F18+F19</f>
        <v>2814614.3255361072</v>
      </c>
      <c r="G20" s="54">
        <f t="shared" si="1"/>
        <v>3757267.5264087999</v>
      </c>
      <c r="H20" s="54"/>
    </row>
    <row r="21" spans="1:8" x14ac:dyDescent="0.3">
      <c r="E21" s="50"/>
      <c r="F21" s="50"/>
      <c r="G21" s="50"/>
      <c r="H21" s="50"/>
    </row>
    <row r="22" spans="1:8" x14ac:dyDescent="0.3">
      <c r="H22" s="50"/>
    </row>
    <row r="23" spans="1:8" s="1" customFormat="1" x14ac:dyDescent="0.3">
      <c r="A23" s="1" t="s">
        <v>87</v>
      </c>
      <c r="E23" s="53">
        <f>E11-E20</f>
        <v>-1586330.67353081</v>
      </c>
      <c r="F23" s="53">
        <f>F11-F20</f>
        <v>-2152417.4689401295</v>
      </c>
      <c r="G23" s="53">
        <f>G11-G20</f>
        <v>-2838176.1143344603</v>
      </c>
      <c r="H23" s="53"/>
    </row>
    <row r="24" spans="1:8" x14ac:dyDescent="0.3">
      <c r="E24" s="50"/>
      <c r="F24" s="50"/>
      <c r="G24" s="50"/>
      <c r="H24" s="50"/>
    </row>
    <row r="25" spans="1:8" x14ac:dyDescent="0.3">
      <c r="A25" t="s">
        <v>132</v>
      </c>
      <c r="E25" s="50">
        <f>-(E23-D23)</f>
        <v>1586330.67353081</v>
      </c>
      <c r="F25" s="50">
        <f t="shared" ref="F25:G25" si="2">-(F23-E23)</f>
        <v>566086.79540931946</v>
      </c>
      <c r="G25" s="50">
        <f t="shared" si="2"/>
        <v>685758.64539433084</v>
      </c>
      <c r="H25" s="50"/>
    </row>
    <row r="26" spans="1:8" x14ac:dyDescent="0.3">
      <c r="E26" s="50"/>
      <c r="F26" s="50"/>
      <c r="G26" s="50"/>
      <c r="H26" s="50"/>
    </row>
    <row r="27" spans="1:8" x14ac:dyDescent="0.3">
      <c r="E27" s="50"/>
      <c r="F27" s="50"/>
      <c r="G27" s="50"/>
      <c r="H27" s="50"/>
    </row>
    <row r="28" spans="1:8" s="71" customFormat="1" x14ac:dyDescent="0.3">
      <c r="A28" s="71" t="s">
        <v>104</v>
      </c>
      <c r="E28" s="73"/>
      <c r="F28" s="73"/>
      <c r="G28" s="73"/>
      <c r="H28" s="73"/>
    </row>
    <row r="29" spans="1:8" x14ac:dyDescent="0.3">
      <c r="E29" s="50"/>
      <c r="F29" s="50"/>
      <c r="G29" s="50"/>
      <c r="H29" s="50"/>
    </row>
    <row r="30" spans="1:8" x14ac:dyDescent="0.3">
      <c r="E30" s="50"/>
      <c r="F30" s="50"/>
      <c r="G30" s="50"/>
      <c r="H30" s="50"/>
    </row>
  </sheetData>
  <mergeCells count="1"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FC3F-6D3F-4AD9-8937-CB1540FD64BD}">
  <sheetPr>
    <tabColor rgb="FF00B050"/>
  </sheetPr>
  <dimension ref="A2:K50"/>
  <sheetViews>
    <sheetView zoomScaleNormal="100" workbookViewId="0">
      <selection activeCell="B4" sqref="B4"/>
    </sheetView>
  </sheetViews>
  <sheetFormatPr defaultRowHeight="14.4" x14ac:dyDescent="0.3"/>
  <cols>
    <col min="1" max="1" width="30.44140625" bestFit="1" customWidth="1"/>
    <col min="2" max="2" width="8" bestFit="1" customWidth="1"/>
    <col min="5" max="5" width="9.6640625" bestFit="1" customWidth="1"/>
    <col min="6" max="8" width="13.77734375" bestFit="1" customWidth="1"/>
  </cols>
  <sheetData>
    <row r="2" spans="1:11" ht="21" x14ac:dyDescent="0.4">
      <c r="C2" s="109" t="s">
        <v>179</v>
      </c>
      <c r="D2" s="109"/>
      <c r="E2" s="109"/>
      <c r="F2" s="109"/>
    </row>
    <row r="4" spans="1:11" x14ac:dyDescent="0.3">
      <c r="A4" s="1" t="s">
        <v>0</v>
      </c>
      <c r="B4" s="1" t="s">
        <v>191</v>
      </c>
    </row>
    <row r="5" spans="1:11" x14ac:dyDescent="0.3">
      <c r="F5" s="8">
        <v>1</v>
      </c>
      <c r="G5" s="8">
        <v>2</v>
      </c>
      <c r="H5" s="8">
        <v>3</v>
      </c>
    </row>
    <row r="6" spans="1:11" x14ac:dyDescent="0.3">
      <c r="F6" s="9">
        <f>EOMONTH(Assumptions!C5,11)</f>
        <v>44286</v>
      </c>
      <c r="G6" s="9">
        <f>EOMONTH(F6,12)</f>
        <v>44651</v>
      </c>
      <c r="H6" s="9">
        <f>EOMONTH(G6,12)</f>
        <v>45016</v>
      </c>
    </row>
    <row r="8" spans="1:11" x14ac:dyDescent="0.3">
      <c r="A8" s="6" t="s">
        <v>31</v>
      </c>
    </row>
    <row r="9" spans="1:11" x14ac:dyDescent="0.3">
      <c r="A9" s="67" t="str">
        <f>'Monthly Revenue'!A70</f>
        <v>Alcoholic Beverages</v>
      </c>
      <c r="B9" s="67"/>
      <c r="F9" s="50">
        <f>SUM('Monthly P&amp;L'!$H9:$P9)</f>
        <v>6458517.2361104712</v>
      </c>
      <c r="G9" s="50">
        <f>SUM('Monthly P&amp;L'!$Q9:$AB9)</f>
        <v>12187671.60774857</v>
      </c>
      <c r="H9" s="50">
        <f>SUM('Monthly P&amp;L'!$AC9:$AN9)</f>
        <v>18072178.813438073</v>
      </c>
      <c r="I9" s="50"/>
      <c r="J9" s="50"/>
      <c r="K9" s="50"/>
    </row>
    <row r="10" spans="1:11" x14ac:dyDescent="0.3">
      <c r="A10" s="67" t="str">
        <f>'Monthly Revenue'!A71</f>
        <v>Non-Alcoholic Bevarages</v>
      </c>
      <c r="B10" s="67"/>
      <c r="F10" s="50">
        <f>SUM('Monthly P&amp;L'!$H10:$P10)</f>
        <v>3116544.8008708414</v>
      </c>
      <c r="G10" s="50">
        <f>SUM('Monthly P&amp;L'!$Q10:$AB10)</f>
        <v>5773268.4827992367</v>
      </c>
      <c r="H10" s="50">
        <f>SUM('Monthly P&amp;L'!$AC10:$AN10)</f>
        <v>8408599.0550785381</v>
      </c>
      <c r="I10" s="50"/>
      <c r="J10" s="50"/>
      <c r="K10" s="50"/>
    </row>
    <row r="11" spans="1:11" x14ac:dyDescent="0.3">
      <c r="A11" s="67" t="str">
        <f>'Monthly Revenue'!A72</f>
        <v>Food</v>
      </c>
      <c r="B11" s="67"/>
      <c r="F11" s="50">
        <f>SUM('Monthly P&amp;L'!$H11:$P11)</f>
        <v>14895966.081244538</v>
      </c>
      <c r="G11" s="50">
        <f>SUM('Monthly P&amp;L'!$Q11:$AB11)</f>
        <v>27424132.123538237</v>
      </c>
      <c r="H11" s="50">
        <f>SUM('Monthly P&amp;L'!$AC11:$AN11)</f>
        <v>39706350.08852578</v>
      </c>
      <c r="I11" s="50"/>
      <c r="J11" s="50"/>
      <c r="K11" s="50"/>
    </row>
    <row r="12" spans="1:11" s="48" customFormat="1" ht="15" thickBot="1" x14ac:dyDescent="0.35">
      <c r="A12" s="48" t="str">
        <f>'Monthly Revenue'!A73</f>
        <v>Total Monthly Revenue</v>
      </c>
      <c r="F12" s="78">
        <f>SUM(F9:F11)</f>
        <v>24471028.11822585</v>
      </c>
      <c r="G12" s="78">
        <f t="shared" ref="G12:H12" si="0">SUM(G9:G11)</f>
        <v>45385072.214086041</v>
      </c>
      <c r="H12" s="78">
        <f t="shared" si="0"/>
        <v>66187127.957042389</v>
      </c>
    </row>
    <row r="13" spans="1:11" x14ac:dyDescent="0.3">
      <c r="F13" s="50"/>
      <c r="G13" s="50"/>
      <c r="H13" s="50"/>
      <c r="I13" s="50"/>
      <c r="J13" s="50"/>
      <c r="K13" s="50"/>
    </row>
    <row r="14" spans="1:11" x14ac:dyDescent="0.3">
      <c r="A14" s="1" t="s">
        <v>105</v>
      </c>
      <c r="F14" s="50"/>
      <c r="G14" s="50"/>
      <c r="H14" s="50"/>
      <c r="I14" s="50"/>
      <c r="J14" s="50"/>
      <c r="K14" s="50"/>
    </row>
    <row r="15" spans="1:11" x14ac:dyDescent="0.3">
      <c r="A15" s="111" t="str">
        <f>Assumptions!A34</f>
        <v>Alcoholic Beverage Cost (% of Revenue</v>
      </c>
      <c r="B15" s="111"/>
      <c r="C15" s="111"/>
      <c r="D15" s="111"/>
      <c r="F15" s="50">
        <f>SUM('Monthly P&amp;L'!$H15:$P15)</f>
        <v>2260481.0326386644</v>
      </c>
      <c r="G15" s="50">
        <f>SUM('Monthly P&amp;L'!$Q15:$AB15)</f>
        <v>4265685.0627119988</v>
      </c>
      <c r="H15" s="50">
        <f>SUM('Monthly P&amp;L'!$AC15:$AN15)</f>
        <v>6325262.5847033253</v>
      </c>
      <c r="I15" s="50"/>
      <c r="J15" s="50"/>
      <c r="K15" s="50"/>
    </row>
    <row r="16" spans="1:11" x14ac:dyDescent="0.3">
      <c r="A16" s="111" t="str">
        <f>Assumptions!A35</f>
        <v>Non Alcoholic Beverage Cost (% of Revenue)</v>
      </c>
      <c r="B16" s="111"/>
      <c r="C16" s="111"/>
      <c r="D16" s="111"/>
      <c r="E16" s="111"/>
      <c r="F16" s="50">
        <f>SUM('Monthly P&amp;L'!$H16:$P16)</f>
        <v>1246617.9203483367</v>
      </c>
      <c r="G16" s="50">
        <f>SUM('Monthly P&amp;L'!$Q16:$AB16)</f>
        <v>2309307.3931196951</v>
      </c>
      <c r="H16" s="50">
        <f>SUM('Monthly P&amp;L'!$AC16:$AN16)</f>
        <v>3363439.6220314158</v>
      </c>
      <c r="I16" s="50"/>
      <c r="J16" s="50"/>
      <c r="K16" s="50"/>
    </row>
    <row r="17" spans="1:11" x14ac:dyDescent="0.3">
      <c r="A17" s="111" t="str">
        <f>Assumptions!A36</f>
        <v>Food Cost (% of Revenue)</v>
      </c>
      <c r="B17" s="111"/>
      <c r="C17" s="111"/>
      <c r="D17" s="67"/>
      <c r="F17" s="50">
        <f>SUM('Monthly P&amp;L'!$H17:$P17)</f>
        <v>4468789.8243733607</v>
      </c>
      <c r="G17" s="50">
        <f>SUM('Monthly P&amp;L'!$Q17:$AB17)</f>
        <v>8227239.6370614693</v>
      </c>
      <c r="H17" s="50">
        <f>SUM('Monthly P&amp;L'!$AC17:$AN17)</f>
        <v>11911905.026557731</v>
      </c>
      <c r="I17" s="50"/>
      <c r="J17" s="50"/>
      <c r="K17" s="50"/>
    </row>
    <row r="18" spans="1:11" x14ac:dyDescent="0.3">
      <c r="A18" s="67" t="s">
        <v>107</v>
      </c>
      <c r="B18" s="67"/>
      <c r="C18" s="67"/>
      <c r="D18" s="67"/>
      <c r="F18" s="50">
        <f>SUM('Monthly P&amp;L'!$H18:$P18)</f>
        <v>8874000</v>
      </c>
      <c r="G18" s="50">
        <f>SUM('Monthly P&amp;L'!$Q18:$AB18)</f>
        <v>12896880</v>
      </c>
      <c r="H18" s="50">
        <f>SUM('Monthly P&amp;L'!$AC18:$AN18)</f>
        <v>14444505.600000003</v>
      </c>
      <c r="I18" s="50"/>
      <c r="J18" s="50"/>
      <c r="K18" s="50"/>
    </row>
    <row r="19" spans="1:11" s="59" customFormat="1" x14ac:dyDescent="0.3">
      <c r="A19" s="59" t="s">
        <v>106</v>
      </c>
      <c r="F19" s="60">
        <f>SUM(F15:F18)</f>
        <v>16849888.777360361</v>
      </c>
      <c r="G19" s="60">
        <f t="shared" ref="G19:H19" si="1">SUM(G15:G18)</f>
        <v>27699112.092893161</v>
      </c>
      <c r="H19" s="60">
        <f t="shared" si="1"/>
        <v>36045112.833292477</v>
      </c>
    </row>
    <row r="20" spans="1:11" x14ac:dyDescent="0.3">
      <c r="F20" s="50"/>
      <c r="G20" s="50"/>
      <c r="H20" s="50"/>
      <c r="I20" s="50"/>
      <c r="J20" s="50"/>
      <c r="K20" s="50"/>
    </row>
    <row r="21" spans="1:11" x14ac:dyDescent="0.3">
      <c r="A21" s="1" t="s">
        <v>108</v>
      </c>
      <c r="F21" s="50"/>
      <c r="G21" s="50"/>
      <c r="H21" s="50"/>
      <c r="I21" s="50"/>
      <c r="J21" s="50"/>
      <c r="K21" s="50"/>
    </row>
    <row r="22" spans="1:11" x14ac:dyDescent="0.3">
      <c r="A22" s="67" t="s">
        <v>109</v>
      </c>
      <c r="B22" s="67"/>
      <c r="C22" s="67"/>
      <c r="D22" s="67"/>
      <c r="E22" s="67"/>
      <c r="F22" s="50">
        <f>SUM('Monthly P&amp;L'!$H22:$P22)</f>
        <v>3420000</v>
      </c>
      <c r="G22" s="50">
        <f>SUM('Monthly P&amp;L'!$Q22:$AB22)</f>
        <v>5073000</v>
      </c>
      <c r="H22" s="50">
        <f>SUM('Monthly P&amp;L'!$AC22:$AN22)</f>
        <v>5833949.9999999991</v>
      </c>
      <c r="I22" s="50"/>
      <c r="J22" s="50"/>
      <c r="K22" s="50"/>
    </row>
    <row r="23" spans="1:11" x14ac:dyDescent="0.3">
      <c r="A23" s="67" t="str">
        <f>Assumptions!A65</f>
        <v>Royalty to Brand (% of Revenue)</v>
      </c>
      <c r="B23" s="67"/>
      <c r="C23" s="67"/>
      <c r="D23" s="67"/>
      <c r="E23" s="67"/>
      <c r="F23" s="50">
        <f>SUM('Monthly P&amp;L'!$H23:$P23)</f>
        <v>1223551.4059112926</v>
      </c>
      <c r="G23" s="50">
        <f>SUM('Monthly P&amp;L'!$Q23:$AB23)</f>
        <v>2269253.6107043019</v>
      </c>
      <c r="H23" s="50">
        <f>SUM('Monthly P&amp;L'!$AC23:$AN23)</f>
        <v>3309356.3978521191</v>
      </c>
      <c r="I23" s="50"/>
      <c r="J23" s="50"/>
      <c r="K23" s="50"/>
    </row>
    <row r="24" spans="1:11" x14ac:dyDescent="0.3">
      <c r="A24" s="67" t="str">
        <f>Assumptions!A66</f>
        <v>Rent (% of Revenue)</v>
      </c>
      <c r="B24" s="67"/>
      <c r="C24" s="67"/>
      <c r="D24" s="67"/>
      <c r="E24" s="67"/>
      <c r="F24" s="50">
        <f>SUM('Monthly P&amp;L'!$H24:$P24)</f>
        <v>2447102.8118225853</v>
      </c>
      <c r="G24" s="50">
        <f>SUM('Monthly P&amp;L'!$Q24:$AB24)</f>
        <v>4538507.2214086037</v>
      </c>
      <c r="H24" s="50">
        <f>SUM('Monthly P&amp;L'!$AC24:$AN24)</f>
        <v>6618712.7957042381</v>
      </c>
      <c r="I24" s="50"/>
      <c r="J24" s="50"/>
      <c r="K24" s="50"/>
    </row>
    <row r="25" spans="1:11" x14ac:dyDescent="0.3">
      <c r="A25" s="67" t="str">
        <f>Assumptions!A67</f>
        <v>Water Cost/M</v>
      </c>
      <c r="B25" s="67"/>
      <c r="C25" s="67"/>
      <c r="D25" s="67"/>
      <c r="E25" s="67"/>
      <c r="F25" s="50">
        <f>SUM('Monthly P&amp;L'!$H25:$P25)</f>
        <v>90000</v>
      </c>
      <c r="G25" s="50">
        <f>SUM('Monthly P&amp;L'!$Q25:$AB25)</f>
        <v>133500</v>
      </c>
      <c r="H25" s="50">
        <f>SUM('Monthly P&amp;L'!$AC25:$AN25)</f>
        <v>153525</v>
      </c>
      <c r="I25" s="50"/>
      <c r="J25" s="50"/>
      <c r="K25" s="50"/>
    </row>
    <row r="26" spans="1:11" x14ac:dyDescent="0.3">
      <c r="A26" s="67" t="str">
        <f>Assumptions!A68</f>
        <v>Maintenance/M</v>
      </c>
      <c r="B26" s="67"/>
      <c r="C26" s="67"/>
      <c r="D26" s="67"/>
      <c r="E26" s="67"/>
      <c r="F26" s="50">
        <f>SUM('Monthly P&amp;L'!$H26:$P26)</f>
        <v>450000</v>
      </c>
      <c r="G26" s="50">
        <f>SUM('Monthly P&amp;L'!$Q26:$AB26)</f>
        <v>667500</v>
      </c>
      <c r="H26" s="50">
        <f>SUM('Monthly P&amp;L'!$AC26:$AN26)</f>
        <v>767624.99999999988</v>
      </c>
      <c r="I26" s="50"/>
      <c r="J26" s="50"/>
      <c r="K26" s="50"/>
    </row>
    <row r="27" spans="1:11" x14ac:dyDescent="0.3">
      <c r="A27" s="67" t="str">
        <f>Assumptions!A69</f>
        <v>Marketing Cost/M</v>
      </c>
      <c r="B27" s="67"/>
      <c r="C27" s="67"/>
      <c r="D27" s="67"/>
      <c r="E27" s="67"/>
      <c r="F27" s="50">
        <f>SUM('Monthly P&amp;L'!$H27:$P27)</f>
        <v>225000</v>
      </c>
      <c r="G27" s="50">
        <f>SUM('Monthly P&amp;L'!$Q27:$AB27)</f>
        <v>333750</v>
      </c>
      <c r="H27" s="50">
        <f>SUM('Monthly P&amp;L'!$AC27:$AN27)</f>
        <v>383812.49999999994</v>
      </c>
      <c r="I27" s="50"/>
      <c r="J27" s="50"/>
      <c r="K27" s="50"/>
    </row>
    <row r="28" spans="1:11" x14ac:dyDescent="0.3">
      <c r="A28" s="111" t="str">
        <f>Assumptions!A70</f>
        <v>Electricity (Based on Area $/sq. Ft)</v>
      </c>
      <c r="B28" s="111"/>
      <c r="C28" s="111"/>
      <c r="D28" s="111"/>
      <c r="E28" s="67"/>
      <c r="F28" s="50">
        <f>SUM('Monthly P&amp;L'!$H28:$P28)</f>
        <v>239400</v>
      </c>
      <c r="G28" s="50">
        <f>SUM('Monthly P&amp;L'!$Q28:$AB28)</f>
        <v>355110</v>
      </c>
      <c r="H28" s="50">
        <f>SUM('Monthly P&amp;L'!$AC28:$AN28)</f>
        <v>408376.49999999994</v>
      </c>
      <c r="I28" s="50"/>
      <c r="J28" s="50"/>
      <c r="K28" s="50"/>
    </row>
    <row r="29" spans="1:11" x14ac:dyDescent="0.3">
      <c r="A29" s="111" t="str">
        <f>Assumptions!A71</f>
        <v>Phone &amp; Internet/M</v>
      </c>
      <c r="B29" s="111"/>
      <c r="C29" s="111"/>
      <c r="D29" s="111"/>
      <c r="E29" s="67"/>
      <c r="F29" s="50">
        <f>SUM('Monthly P&amp;L'!$H29:$P29)</f>
        <v>135000</v>
      </c>
      <c r="G29" s="50">
        <f>SUM('Monthly P&amp;L'!$Q29:$AB29)</f>
        <v>200250</v>
      </c>
      <c r="H29" s="50">
        <f>SUM('Monthly P&amp;L'!$AC29:$AN29)</f>
        <v>230287.5</v>
      </c>
      <c r="I29" s="50"/>
      <c r="J29" s="50"/>
      <c r="K29" s="50"/>
    </row>
    <row r="30" spans="1:11" x14ac:dyDescent="0.3">
      <c r="A30" s="111" t="str">
        <f>Assumptions!A72</f>
        <v>Housekeeping &amp; Consumables (% of Revenue)</v>
      </c>
      <c r="B30" s="111"/>
      <c r="C30" s="111"/>
      <c r="D30" s="111"/>
      <c r="E30" s="111"/>
      <c r="F30" s="50">
        <f>SUM('Monthly P&amp;L'!$H30:$P30)</f>
        <v>489420.56236451701</v>
      </c>
      <c r="G30" s="50">
        <f>SUM('Monthly P&amp;L'!$Q30:$AB30)</f>
        <v>907701.44428172091</v>
      </c>
      <c r="H30" s="50">
        <f>SUM('Monthly P&amp;L'!$AC30:$AN30)</f>
        <v>1323742.5591408478</v>
      </c>
      <c r="I30" s="79"/>
      <c r="J30" s="79"/>
      <c r="K30" s="79"/>
    </row>
    <row r="31" spans="1:11" x14ac:dyDescent="0.3">
      <c r="A31" s="111" t="str">
        <f>Assumptions!A73</f>
        <v>Payment Settlement Charges (% of Revenue)</v>
      </c>
      <c r="B31" s="111"/>
      <c r="C31" s="111"/>
      <c r="D31" s="111"/>
      <c r="E31" s="111"/>
      <c r="F31" s="50">
        <f>SUM('Monthly P&amp;L'!$H31:$P31)</f>
        <v>183532.71088669388</v>
      </c>
      <c r="G31" s="50">
        <f>SUM('Monthly P&amp;L'!$Q31:$AB31)</f>
        <v>340388.04160564527</v>
      </c>
      <c r="H31" s="50">
        <f>SUM('Monthly P&amp;L'!$AC31:$AN31)</f>
        <v>496403.45967781788</v>
      </c>
      <c r="I31" s="50"/>
      <c r="J31" s="50"/>
      <c r="K31" s="50"/>
    </row>
    <row r="32" spans="1:11" s="59" customFormat="1" x14ac:dyDescent="0.3">
      <c r="A32" s="59" t="s">
        <v>111</v>
      </c>
      <c r="F32" s="60">
        <f>SUM(F22:F31)</f>
        <v>8903007.4909850899</v>
      </c>
      <c r="G32" s="60">
        <f t="shared" ref="G32:H32" si="2">SUM(G22:G31)</f>
        <v>14818960.318000272</v>
      </c>
      <c r="H32" s="60">
        <f t="shared" si="2"/>
        <v>19525791.712375022</v>
      </c>
    </row>
    <row r="33" spans="1:11" x14ac:dyDescent="0.3">
      <c r="F33" s="50"/>
      <c r="G33" s="50"/>
      <c r="H33" s="50"/>
      <c r="I33" s="50"/>
      <c r="J33" s="50"/>
      <c r="K33" s="50"/>
    </row>
    <row r="34" spans="1:11" s="48" customFormat="1" ht="15" thickBot="1" x14ac:dyDescent="0.35">
      <c r="A34" s="48" t="s">
        <v>112</v>
      </c>
      <c r="F34" s="80">
        <f>F12-F19-F32</f>
        <v>-1281868.1501196008</v>
      </c>
      <c r="G34" s="80">
        <f t="shared" ref="G34:H34" si="3">G12-G19-G32</f>
        <v>2866999.8031926081</v>
      </c>
      <c r="H34" s="80">
        <f t="shared" si="3"/>
        <v>10616223.411374889</v>
      </c>
    </row>
    <row r="35" spans="1:11" x14ac:dyDescent="0.3">
      <c r="A35" t="s">
        <v>126</v>
      </c>
      <c r="F35" s="50">
        <f>SUM('Fixed Assets Schedule'!E12,'Fixed Assets Schedule'!E19,'Fixed Assets Schedule'!E26,'Fixed Assets Schedule'!E34)</f>
        <v>1727753.4246575343</v>
      </c>
      <c r="G35" s="50">
        <f>SUM('Fixed Assets Schedule'!F12,'Fixed Assets Schedule'!F19,'Fixed Assets Schedule'!F26,'Fixed Assets Schedule'!F34)</f>
        <v>2092347.9452054799</v>
      </c>
      <c r="H35" s="50">
        <f>SUM('Fixed Assets Schedule'!G12,'Fixed Assets Schedule'!G19,'Fixed Assets Schedule'!G26,'Fixed Assets Schedule'!G34)</f>
        <v>1829844.6575342466</v>
      </c>
      <c r="I35" s="50"/>
      <c r="J35" s="50"/>
      <c r="K35" s="50"/>
    </row>
    <row r="37" spans="1:11" s="81" customFormat="1" x14ac:dyDescent="0.3">
      <c r="A37" s="81" t="s">
        <v>134</v>
      </c>
      <c r="F37" s="82">
        <f>F34-F35</f>
        <v>-3009621.5747771352</v>
      </c>
      <c r="G37" s="82">
        <f>G34-G35</f>
        <v>774651.8579871282</v>
      </c>
      <c r="H37" s="82">
        <f>H34-H35</f>
        <v>8786378.753840642</v>
      </c>
      <c r="I37" s="82"/>
      <c r="J37" s="82"/>
      <c r="K37" s="82"/>
    </row>
    <row r="38" spans="1:11" x14ac:dyDescent="0.3">
      <c r="A38" t="s">
        <v>135</v>
      </c>
      <c r="F38" s="50">
        <v>0</v>
      </c>
      <c r="G38" s="50">
        <v>0</v>
      </c>
      <c r="H38" s="50">
        <v>0</v>
      </c>
      <c r="I38" s="50"/>
      <c r="J38" s="50"/>
      <c r="K38" s="50"/>
    </row>
    <row r="39" spans="1:11" x14ac:dyDescent="0.3">
      <c r="F39" s="50"/>
      <c r="G39" s="50"/>
      <c r="H39" s="50"/>
      <c r="I39" s="50"/>
      <c r="J39" s="50"/>
      <c r="K39" s="50"/>
    </row>
    <row r="40" spans="1:11" s="81" customFormat="1" x14ac:dyDescent="0.3">
      <c r="A40" s="81" t="s">
        <v>136</v>
      </c>
      <c r="F40" s="82">
        <f>F37-F38</f>
        <v>-3009621.5747771352</v>
      </c>
      <c r="G40" s="82">
        <f t="shared" ref="G40:H40" si="4">G37-G38</f>
        <v>774651.8579871282</v>
      </c>
      <c r="H40" s="82">
        <f t="shared" si="4"/>
        <v>8786378.753840642</v>
      </c>
      <c r="I40" s="82"/>
      <c r="J40" s="82"/>
      <c r="K40" s="82"/>
    </row>
    <row r="41" spans="1:11" x14ac:dyDescent="0.3">
      <c r="A41" t="s">
        <v>137</v>
      </c>
      <c r="F41" s="83">
        <f>Assumptions!B124</f>
        <v>0.25169999999999998</v>
      </c>
      <c r="G41" s="83">
        <f>F41</f>
        <v>0.25169999999999998</v>
      </c>
      <c r="H41" s="83">
        <f>G41</f>
        <v>0.25169999999999998</v>
      </c>
      <c r="I41" s="50"/>
      <c r="J41" s="50"/>
      <c r="K41" s="50"/>
    </row>
    <row r="42" spans="1:11" x14ac:dyDescent="0.3">
      <c r="F42" s="50"/>
      <c r="G42" s="50"/>
      <c r="H42" s="50"/>
      <c r="I42" s="50"/>
      <c r="J42" s="50"/>
      <c r="K42" s="50"/>
    </row>
    <row r="43" spans="1:11" s="81" customFormat="1" x14ac:dyDescent="0.3">
      <c r="A43" s="81" t="s">
        <v>140</v>
      </c>
      <c r="F43" s="82">
        <f>F40-(F40*F41)</f>
        <v>-2252099.8244057302</v>
      </c>
      <c r="G43" s="82">
        <f t="shared" ref="G43:H43" si="5">G40-(G40*G41)</f>
        <v>579671.98533176805</v>
      </c>
      <c r="H43" s="82">
        <f t="shared" si="5"/>
        <v>6574847.2214989532</v>
      </c>
      <c r="I43" s="82"/>
      <c r="J43" s="82"/>
      <c r="K43" s="82"/>
    </row>
    <row r="44" spans="1:11" x14ac:dyDescent="0.3">
      <c r="A44" t="s">
        <v>138</v>
      </c>
      <c r="F44" s="50"/>
      <c r="G44" s="50"/>
      <c r="H44" s="50"/>
      <c r="I44" s="50"/>
      <c r="J44" s="50"/>
      <c r="K44" s="50"/>
    </row>
    <row r="45" spans="1:11" x14ac:dyDescent="0.3">
      <c r="F45" s="50"/>
      <c r="G45" s="50"/>
      <c r="H45" s="50"/>
      <c r="I45" s="50"/>
      <c r="J45" s="50"/>
      <c r="K45" s="50"/>
    </row>
    <row r="46" spans="1:11" s="31" customFormat="1" x14ac:dyDescent="0.3">
      <c r="A46" s="31" t="s">
        <v>139</v>
      </c>
      <c r="F46" s="84">
        <f>F43/F12</f>
        <v>-9.2031271163812767E-2</v>
      </c>
      <c r="G46" s="84">
        <f t="shared" ref="G46:H46" si="6">G43/G12</f>
        <v>1.2772305012480663E-2</v>
      </c>
      <c r="H46" s="84">
        <f t="shared" si="6"/>
        <v>9.9337249166729882E-2</v>
      </c>
      <c r="I46" s="85"/>
      <c r="J46" s="85"/>
      <c r="K46" s="85"/>
    </row>
    <row r="47" spans="1:11" x14ac:dyDescent="0.3">
      <c r="F47" s="50"/>
      <c r="G47" s="50"/>
      <c r="H47" s="50"/>
      <c r="I47" s="50"/>
      <c r="J47" s="50"/>
      <c r="K47" s="50"/>
    </row>
    <row r="48" spans="1:11" x14ac:dyDescent="0.3">
      <c r="F48" s="50"/>
      <c r="G48" s="50"/>
      <c r="H48" s="50"/>
      <c r="I48" s="50"/>
      <c r="J48" s="50"/>
      <c r="K48" s="50"/>
    </row>
    <row r="50" spans="1:1" s="71" customFormat="1" x14ac:dyDescent="0.3">
      <c r="A50" s="71" t="s">
        <v>104</v>
      </c>
    </row>
  </sheetData>
  <mergeCells count="8">
    <mergeCell ref="C2:F2"/>
    <mergeCell ref="A15:D15"/>
    <mergeCell ref="A30:E30"/>
    <mergeCell ref="A31:E31"/>
    <mergeCell ref="A16:E16"/>
    <mergeCell ref="A17:C17"/>
    <mergeCell ref="A28:D28"/>
    <mergeCell ref="A29:D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B1CE-2CF0-4595-9103-8215A8E80E9C}">
  <sheetPr>
    <tabColor rgb="FF00B050"/>
  </sheetPr>
  <dimension ref="A2:I46"/>
  <sheetViews>
    <sheetView workbookViewId="0">
      <selection activeCell="B4" sqref="B4"/>
    </sheetView>
  </sheetViews>
  <sheetFormatPr defaultRowHeight="14.4" x14ac:dyDescent="0.3"/>
  <cols>
    <col min="1" max="1" width="17.44140625" bestFit="1" customWidth="1"/>
    <col min="2" max="2" width="13.33203125" bestFit="1" customWidth="1"/>
    <col min="5" max="5" width="14.21875" bestFit="1" customWidth="1"/>
    <col min="6" max="7" width="14.109375" bestFit="1" customWidth="1"/>
  </cols>
  <sheetData>
    <row r="2" spans="1:9" ht="21" x14ac:dyDescent="0.4">
      <c r="D2" s="109" t="s">
        <v>180</v>
      </c>
      <c r="E2" s="109"/>
    </row>
    <row r="4" spans="1:9" x14ac:dyDescent="0.3">
      <c r="A4" s="1" t="s">
        <v>0</v>
      </c>
      <c r="B4" s="1" t="s">
        <v>191</v>
      </c>
    </row>
    <row r="5" spans="1:9" x14ac:dyDescent="0.3">
      <c r="E5" s="8">
        <v>1</v>
      </c>
      <c r="F5" s="8">
        <v>2</v>
      </c>
      <c r="G5" s="8">
        <v>3</v>
      </c>
    </row>
    <row r="6" spans="1:9" x14ac:dyDescent="0.3">
      <c r="E6" s="9">
        <f>EOMONTH(Assumptions!C5,11)</f>
        <v>44286</v>
      </c>
      <c r="F6" s="9">
        <f>EOMONTH(E6,12)</f>
        <v>44651</v>
      </c>
      <c r="G6" s="9">
        <f>EOMONTH(F6,12)</f>
        <v>45016</v>
      </c>
    </row>
    <row r="8" spans="1:9" x14ac:dyDescent="0.3">
      <c r="A8" s="6" t="s">
        <v>155</v>
      </c>
      <c r="E8" s="50"/>
      <c r="F8" s="50"/>
      <c r="G8" s="50"/>
      <c r="H8" s="50"/>
      <c r="I8" s="50"/>
    </row>
    <row r="9" spans="1:9" x14ac:dyDescent="0.3">
      <c r="A9" s="1" t="s">
        <v>156</v>
      </c>
      <c r="B9" t="s">
        <v>157</v>
      </c>
      <c r="E9" s="50">
        <f>'Capital Structure'!D18</f>
        <v>22500000</v>
      </c>
      <c r="F9" s="50">
        <f>E9</f>
        <v>22500000</v>
      </c>
      <c r="G9" s="50">
        <f>F9</f>
        <v>22500000</v>
      </c>
      <c r="H9" s="50"/>
      <c r="I9" s="50"/>
    </row>
    <row r="10" spans="1:9" x14ac:dyDescent="0.3">
      <c r="B10" t="s">
        <v>158</v>
      </c>
      <c r="E10" s="50">
        <f>D10+'Annual P&amp;L'!F43</f>
        <v>-2252099.8244057302</v>
      </c>
      <c r="F10" s="50">
        <f>E10+'Annual P&amp;L'!G43</f>
        <v>-1672427.8390739621</v>
      </c>
      <c r="G10" s="50">
        <f>F10+'Annual P&amp;L'!H43</f>
        <v>4902419.3824249916</v>
      </c>
      <c r="H10" s="50"/>
      <c r="I10" s="50"/>
    </row>
    <row r="11" spans="1:9" s="59" customFormat="1" x14ac:dyDescent="0.3">
      <c r="A11" s="59" t="s">
        <v>159</v>
      </c>
      <c r="E11" s="61">
        <f>SUM(E9:E10)</f>
        <v>20247900.17559427</v>
      </c>
      <c r="F11" s="61">
        <f t="shared" ref="F11:G11" si="0">SUM(F9:F10)</f>
        <v>20827572.160926037</v>
      </c>
      <c r="G11" s="61">
        <f t="shared" si="0"/>
        <v>27402419.382424992</v>
      </c>
      <c r="H11" s="61"/>
      <c r="I11" s="61"/>
    </row>
    <row r="12" spans="1:9" x14ac:dyDescent="0.3">
      <c r="E12" s="50"/>
      <c r="F12" s="50"/>
      <c r="G12" s="50"/>
      <c r="H12" s="50"/>
      <c r="I12" s="50"/>
    </row>
    <row r="13" spans="1:9" x14ac:dyDescent="0.3">
      <c r="A13" s="1" t="s">
        <v>160</v>
      </c>
      <c r="E13" s="50"/>
      <c r="F13" s="50"/>
      <c r="G13" s="50"/>
      <c r="H13" s="50"/>
      <c r="I13" s="50"/>
    </row>
    <row r="14" spans="1:9" x14ac:dyDescent="0.3">
      <c r="A14" s="1" t="s">
        <v>161</v>
      </c>
      <c r="B14" t="str">
        <f>'Working Capital'!A15</f>
        <v>Creditor for R/Mtrls</v>
      </c>
      <c r="E14" s="50">
        <f>'Working Capital'!E15</f>
        <v>1045753.085502069</v>
      </c>
      <c r="F14" s="50">
        <f>'Working Capital'!F15</f>
        <v>1369277.2849038555</v>
      </c>
      <c r="G14" s="50">
        <f>'Working Capital'!G15</f>
        <v>1757930.3585579735</v>
      </c>
      <c r="H14" s="50"/>
      <c r="I14" s="50"/>
    </row>
    <row r="15" spans="1:9" x14ac:dyDescent="0.3">
      <c r="B15" t="str">
        <f>'Working Capital'!A16</f>
        <v>Creditor for Expenses:</v>
      </c>
      <c r="E15" s="50">
        <f>'Working Capital'!E16</f>
        <v>0</v>
      </c>
      <c r="F15" s="50">
        <f>'Working Capital'!F16</f>
        <v>0</v>
      </c>
      <c r="G15" s="50">
        <f>'Working Capital'!G16</f>
        <v>0</v>
      </c>
      <c r="H15" s="50"/>
      <c r="I15" s="50"/>
    </row>
    <row r="16" spans="1:9" x14ac:dyDescent="0.3">
      <c r="B16" s="67" t="str">
        <f>'Working Capital'!A17</f>
        <v>Alcoholic Beverages</v>
      </c>
      <c r="E16" s="50">
        <f>'Working Capital'!E17</f>
        <v>279222.255066799</v>
      </c>
      <c r="F16" s="50">
        <f>'Working Capital'!F17</f>
        <v>415345.33029475884</v>
      </c>
      <c r="G16" s="50">
        <f>'Working Capital'!G17</f>
        <v>578368.24648853322</v>
      </c>
      <c r="H16" s="50"/>
      <c r="I16" s="50"/>
    </row>
    <row r="17" spans="1:9" x14ac:dyDescent="0.3">
      <c r="B17" s="67" t="str">
        <f>'Working Capital'!A18</f>
        <v>Non-alcoholic Beverages</v>
      </c>
      <c r="E17" s="50">
        <f>'Working Capital'!E18</f>
        <v>154787.89621650209</v>
      </c>
      <c r="F17" s="50">
        <f>'Working Capital'!F18</f>
        <v>225558.72373491043</v>
      </c>
      <c r="G17" s="50">
        <f>'Working Capital'!G18</f>
        <v>311685.0360762722</v>
      </c>
      <c r="H17" s="50"/>
      <c r="I17" s="50"/>
    </row>
    <row r="18" spans="1:9" x14ac:dyDescent="0.3">
      <c r="B18" s="67" t="str">
        <f>'Working Capital'!A19</f>
        <v>Food</v>
      </c>
      <c r="E18" s="50">
        <f>'Working Capital'!E19</f>
        <v>555820.367904588</v>
      </c>
      <c r="F18" s="50">
        <f>'Working Capital'!F19</f>
        <v>804432.9866025825</v>
      </c>
      <c r="G18" s="50">
        <f>'Working Capital'!G19</f>
        <v>1109283.8852860208</v>
      </c>
      <c r="H18" s="50"/>
      <c r="I18" s="50"/>
    </row>
    <row r="19" spans="1:9" s="59" customFormat="1" x14ac:dyDescent="0.3">
      <c r="A19" s="59" t="s">
        <v>162</v>
      </c>
      <c r="E19" s="61">
        <f>SUM(E14:E18)</f>
        <v>2035583.604689958</v>
      </c>
      <c r="F19" s="61">
        <f t="shared" ref="F19:G19" si="1">SUM(F14:F18)</f>
        <v>2814614.3255361072</v>
      </c>
      <c r="G19" s="61">
        <f t="shared" si="1"/>
        <v>3757267.5264087999</v>
      </c>
      <c r="H19" s="61"/>
      <c r="I19" s="61"/>
    </row>
    <row r="20" spans="1:9" x14ac:dyDescent="0.3">
      <c r="E20" s="50"/>
      <c r="F20" s="50"/>
      <c r="G20" s="50"/>
      <c r="H20" s="50"/>
      <c r="I20" s="50"/>
    </row>
    <row r="21" spans="1:9" s="87" customFormat="1" ht="15" thickBot="1" x14ac:dyDescent="0.35">
      <c r="A21" s="87" t="s">
        <v>163</v>
      </c>
      <c r="E21" s="88">
        <f>E11+E19</f>
        <v>22283483.78028423</v>
      </c>
      <c r="F21" s="88">
        <f t="shared" ref="F21:G21" si="2">F11+F19</f>
        <v>23642186.486462142</v>
      </c>
      <c r="G21" s="88">
        <f t="shared" si="2"/>
        <v>31159686.908833791</v>
      </c>
      <c r="H21" s="88"/>
      <c r="I21" s="88"/>
    </row>
    <row r="22" spans="1:9" ht="15" thickTop="1" x14ac:dyDescent="0.3">
      <c r="E22" s="50"/>
      <c r="F22" s="50"/>
      <c r="G22" s="50"/>
      <c r="H22" s="50"/>
      <c r="I22" s="50"/>
    </row>
    <row r="23" spans="1:9" x14ac:dyDescent="0.3">
      <c r="E23" s="50"/>
      <c r="F23" s="50"/>
      <c r="G23" s="50"/>
      <c r="H23" s="50"/>
      <c r="I23" s="50"/>
    </row>
    <row r="24" spans="1:9" x14ac:dyDescent="0.3">
      <c r="A24" s="6" t="s">
        <v>164</v>
      </c>
      <c r="E24" s="50"/>
      <c r="F24" s="50"/>
      <c r="G24" s="50"/>
      <c r="H24" s="50"/>
      <c r="I24" s="50"/>
    </row>
    <row r="25" spans="1:9" x14ac:dyDescent="0.3">
      <c r="A25" s="1" t="s">
        <v>165</v>
      </c>
      <c r="B25" t="s">
        <v>115</v>
      </c>
      <c r="E25" s="50">
        <f>'Fixed Assets Schedule'!E13</f>
        <v>2663424.6575342463</v>
      </c>
      <c r="F25" s="50">
        <f>'Fixed Assets Schedule'!F13</f>
        <v>2263910.9589041094</v>
      </c>
      <c r="G25" s="50">
        <f>'Fixed Assets Schedule'!G13</f>
        <v>1924324.3150684931</v>
      </c>
      <c r="H25" s="50"/>
      <c r="I25" s="50"/>
    </row>
    <row r="26" spans="1:9" x14ac:dyDescent="0.3">
      <c r="B26" t="s">
        <v>166</v>
      </c>
      <c r="E26" s="50">
        <f>'Fixed Assets Schedule'!E20</f>
        <v>4439041.0958904112</v>
      </c>
      <c r="F26" s="50">
        <f>'Fixed Assets Schedule'!F20</f>
        <v>3773184.9315068494</v>
      </c>
      <c r="G26" s="50">
        <f>'Fixed Assets Schedule'!G20</f>
        <v>3207207.1917808219</v>
      </c>
      <c r="H26" s="50"/>
      <c r="I26" s="50"/>
    </row>
    <row r="27" spans="1:9" x14ac:dyDescent="0.3">
      <c r="B27" t="s">
        <v>85</v>
      </c>
      <c r="E27" s="50">
        <f>'Fixed Assets Schedule'!E27</f>
        <v>4718547.9452054799</v>
      </c>
      <c r="F27" s="50">
        <f>'Fixed Assets Schedule'!F27</f>
        <v>4246693.1506849322</v>
      </c>
      <c r="G27" s="50">
        <f>'Fixed Assets Schedule'!G27</f>
        <v>3822023.8356164391</v>
      </c>
      <c r="H27" s="50"/>
      <c r="I27" s="50"/>
    </row>
    <row r="28" spans="1:9" x14ac:dyDescent="0.3">
      <c r="B28" t="s">
        <v>86</v>
      </c>
      <c r="E28" s="50">
        <f>'Fixed Assets Schedule'!E35</f>
        <v>5551232.8767123288</v>
      </c>
      <c r="F28" s="50">
        <f>'Fixed Assets Schedule'!F35</f>
        <v>4996109.5890410962</v>
      </c>
      <c r="G28" s="50">
        <f>'Fixed Assets Schedule'!G35</f>
        <v>4496498.6301369863</v>
      </c>
      <c r="H28" s="50"/>
      <c r="I28" s="50"/>
    </row>
    <row r="29" spans="1:9" s="81" customFormat="1" x14ac:dyDescent="0.3">
      <c r="A29" s="81" t="s">
        <v>59</v>
      </c>
      <c r="E29" s="82">
        <f>SUM(E25:E28)</f>
        <v>17372246.575342465</v>
      </c>
      <c r="F29" s="82">
        <f t="shared" ref="F29:G29" si="3">SUM(F25:F28)</f>
        <v>15279898.630136985</v>
      </c>
      <c r="G29" s="82">
        <f t="shared" si="3"/>
        <v>13450053.97260274</v>
      </c>
      <c r="H29" s="82"/>
      <c r="I29" s="82"/>
    </row>
    <row r="30" spans="1:9" x14ac:dyDescent="0.3">
      <c r="A30" s="1"/>
      <c r="B30" t="s">
        <v>119</v>
      </c>
      <c r="E30" s="86">
        <f>'Capital Structure'!D15</f>
        <v>1000000</v>
      </c>
      <c r="F30" s="86">
        <f>E30</f>
        <v>1000000</v>
      </c>
      <c r="G30" s="86">
        <f>F30</f>
        <v>1000000</v>
      </c>
      <c r="H30" s="86"/>
      <c r="I30" s="86"/>
    </row>
    <row r="31" spans="1:9" s="81" customFormat="1" x14ac:dyDescent="0.3">
      <c r="A31" s="81" t="s">
        <v>117</v>
      </c>
      <c r="E31" s="82">
        <f>E29+E30</f>
        <v>18372246.575342465</v>
      </c>
      <c r="F31" s="82">
        <f t="shared" ref="F31:G31" si="4">F29+F30</f>
        <v>16279898.630136985</v>
      </c>
      <c r="G31" s="82">
        <f t="shared" si="4"/>
        <v>14450053.97260274</v>
      </c>
      <c r="H31" s="82"/>
      <c r="I31" s="82"/>
    </row>
    <row r="32" spans="1:9" x14ac:dyDescent="0.3">
      <c r="E32" s="50"/>
      <c r="F32" s="50"/>
      <c r="G32" s="50"/>
      <c r="H32" s="50"/>
      <c r="I32" s="50"/>
    </row>
    <row r="33" spans="1:9" x14ac:dyDescent="0.3">
      <c r="A33" s="1" t="s">
        <v>167</v>
      </c>
      <c r="B33" t="str">
        <f>'Working Capital'!A8</f>
        <v>Alcoholic Beverages</v>
      </c>
      <c r="E33" s="50">
        <f>'Working Capital'!E8</f>
        <v>279222.255066799</v>
      </c>
      <c r="F33" s="50">
        <f>'Working Capital'!F8</f>
        <v>415345.33029475884</v>
      </c>
      <c r="G33" s="50">
        <f>'Working Capital'!G8</f>
        <v>578368.24648853322</v>
      </c>
      <c r="H33" s="50"/>
      <c r="I33" s="50"/>
    </row>
    <row r="34" spans="1:9" x14ac:dyDescent="0.3">
      <c r="B34" t="str">
        <f>'Working Capital'!A9</f>
        <v>Non-Alcoholic Beverages</v>
      </c>
      <c r="E34" s="50">
        <f>'Working Capital'!E9</f>
        <v>77393.948108251047</v>
      </c>
      <c r="F34" s="50">
        <f>'Working Capital'!F9</f>
        <v>112779.36186745521</v>
      </c>
      <c r="G34" s="50">
        <f>'Working Capital'!G9</f>
        <v>155842.5180381361</v>
      </c>
      <c r="H34" s="50"/>
      <c r="I34" s="50"/>
    </row>
    <row r="35" spans="1:9" x14ac:dyDescent="0.3">
      <c r="B35" t="str">
        <f>'Working Capital'!A10</f>
        <v>Food</v>
      </c>
      <c r="E35" s="50">
        <f>'Working Capital'!E10</f>
        <v>92636.72798409799</v>
      </c>
      <c r="F35" s="50">
        <f>'Working Capital'!F10</f>
        <v>134072.16443376377</v>
      </c>
      <c r="G35" s="50">
        <f>'Working Capital'!G10</f>
        <v>184880.64754767012</v>
      </c>
      <c r="H35" s="50"/>
      <c r="I35" s="50"/>
    </row>
    <row r="36" spans="1:9" x14ac:dyDescent="0.3">
      <c r="B36" t="s">
        <v>169</v>
      </c>
      <c r="E36" s="50">
        <f>'Cash Flow Statement'!E31</f>
        <v>3461984.2737826146</v>
      </c>
      <c r="F36" s="50">
        <f>'Cash Flow Statement'!F31</f>
        <v>6700090.9997291826</v>
      </c>
      <c r="G36" s="50">
        <f>'Cash Flow Statement'!G31</f>
        <v>15790541.524156714</v>
      </c>
      <c r="H36" s="50"/>
      <c r="I36" s="50"/>
    </row>
    <row r="37" spans="1:9" s="48" customFormat="1" ht="15" thickBot="1" x14ac:dyDescent="0.35">
      <c r="A37" s="48" t="s">
        <v>168</v>
      </c>
      <c r="E37" s="54">
        <f>SUM(E33:E36)</f>
        <v>3911237.2049417626</v>
      </c>
      <c r="F37" s="54">
        <f t="shared" ref="F37:G37" si="5">SUM(F33:F36)</f>
        <v>7362287.8563251607</v>
      </c>
      <c r="G37" s="54">
        <f t="shared" si="5"/>
        <v>16709632.936231053</v>
      </c>
      <c r="H37" s="54"/>
      <c r="I37" s="54"/>
    </row>
    <row r="39" spans="1:9" s="89" customFormat="1" ht="15" thickBot="1" x14ac:dyDescent="0.35">
      <c r="A39" s="89" t="s">
        <v>170</v>
      </c>
      <c r="E39" s="88">
        <f>E31+E37</f>
        <v>22283483.780284226</v>
      </c>
      <c r="F39" s="88">
        <f t="shared" ref="F39:G39" si="6">F31+F37</f>
        <v>23642186.486462146</v>
      </c>
      <c r="G39" s="88">
        <f t="shared" si="6"/>
        <v>31159686.908833794</v>
      </c>
    </row>
    <row r="40" spans="1:9" ht="15" thickTop="1" x14ac:dyDescent="0.3"/>
    <row r="41" spans="1:9" ht="15" thickBot="1" x14ac:dyDescent="0.35"/>
    <row r="42" spans="1:9" ht="15" thickBot="1" x14ac:dyDescent="0.35">
      <c r="A42" s="92" t="s">
        <v>171</v>
      </c>
      <c r="B42" s="30"/>
      <c r="C42" s="30"/>
      <c r="D42" s="30"/>
      <c r="E42" s="90">
        <f>E21-E39</f>
        <v>0</v>
      </c>
      <c r="F42" s="90">
        <f t="shared" ref="F42:G42" si="7">F21-F39</f>
        <v>0</v>
      </c>
      <c r="G42" s="91">
        <f t="shared" si="7"/>
        <v>0</v>
      </c>
    </row>
    <row r="46" spans="1:9" s="71" customFormat="1" x14ac:dyDescent="0.3">
      <c r="A46" s="71" t="s">
        <v>104</v>
      </c>
    </row>
  </sheetData>
  <mergeCells count="1">
    <mergeCell ref="D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A6D9-280F-4995-871B-B59FF40E65D2}">
  <sheetPr>
    <tabColor rgb="FF00B050"/>
  </sheetPr>
  <dimension ref="A3:H38"/>
  <sheetViews>
    <sheetView workbookViewId="0">
      <selection activeCell="I16" sqref="I16"/>
    </sheetView>
  </sheetViews>
  <sheetFormatPr defaultRowHeight="14.4" x14ac:dyDescent="0.3"/>
  <cols>
    <col min="1" max="1" width="35.5546875" bestFit="1" customWidth="1"/>
    <col min="2" max="2" width="7.5546875" bestFit="1" customWidth="1"/>
    <col min="5" max="5" width="13.77734375" bestFit="1" customWidth="1"/>
    <col min="6" max="6" width="12" bestFit="1" customWidth="1"/>
    <col min="7" max="7" width="13.109375" bestFit="1" customWidth="1"/>
  </cols>
  <sheetData>
    <row r="3" spans="1:8" ht="21" x14ac:dyDescent="0.4">
      <c r="D3" s="109" t="s">
        <v>181</v>
      </c>
      <c r="E3" s="109"/>
      <c r="F3" s="109"/>
    </row>
    <row r="4" spans="1:8" x14ac:dyDescent="0.3">
      <c r="A4" s="1" t="s">
        <v>0</v>
      </c>
      <c r="B4" s="1" t="s">
        <v>191</v>
      </c>
    </row>
    <row r="5" spans="1:8" x14ac:dyDescent="0.3">
      <c r="E5" s="8">
        <v>1</v>
      </c>
      <c r="F5" s="8">
        <v>2</v>
      </c>
      <c r="G5" s="8">
        <v>3</v>
      </c>
    </row>
    <row r="6" spans="1:8" x14ac:dyDescent="0.3">
      <c r="E6" s="9">
        <f>EOMONTH(Assumptions!C5,11)</f>
        <v>44286</v>
      </c>
      <c r="F6" s="9">
        <f>EOMONTH(E6,12)</f>
        <v>44651</v>
      </c>
      <c r="G6" s="9">
        <f>EOMONTH(F6,12)</f>
        <v>45016</v>
      </c>
    </row>
    <row r="8" spans="1:8" x14ac:dyDescent="0.3">
      <c r="A8" s="6" t="s">
        <v>141</v>
      </c>
    </row>
    <row r="9" spans="1:8" x14ac:dyDescent="0.3">
      <c r="A9" t="s">
        <v>140</v>
      </c>
      <c r="E9" s="50">
        <f>'Annual P&amp;L'!F43</f>
        <v>-2252099.8244057302</v>
      </c>
      <c r="F9" s="50">
        <f>'Annual P&amp;L'!G43</f>
        <v>579671.98533176805</v>
      </c>
      <c r="G9" s="50">
        <f>'Annual P&amp;L'!H43</f>
        <v>6574847.2214989532</v>
      </c>
      <c r="H9" s="50"/>
    </row>
    <row r="10" spans="1:8" x14ac:dyDescent="0.3">
      <c r="A10" t="s">
        <v>144</v>
      </c>
      <c r="E10" s="50"/>
      <c r="F10" s="50"/>
      <c r="G10" s="50"/>
      <c r="H10" s="50"/>
    </row>
    <row r="11" spans="1:8" x14ac:dyDescent="0.3">
      <c r="A11" s="76" t="s">
        <v>93</v>
      </c>
      <c r="E11" s="50">
        <f>'Annual P&amp;L'!F35</f>
        <v>1727753.4246575343</v>
      </c>
      <c r="F11" s="50">
        <f>'Annual P&amp;L'!G35</f>
        <v>2092347.9452054799</v>
      </c>
      <c r="G11" s="50">
        <f>'Annual P&amp;L'!H35</f>
        <v>1829844.6575342466</v>
      </c>
      <c r="H11" s="50"/>
    </row>
    <row r="12" spans="1:8" x14ac:dyDescent="0.3">
      <c r="A12" t="s">
        <v>145</v>
      </c>
      <c r="E12" s="50">
        <f>'Working Capital'!E25</f>
        <v>1586330.67353081</v>
      </c>
      <c r="F12" s="50">
        <f>'Working Capital'!F25</f>
        <v>566086.79540931946</v>
      </c>
      <c r="G12" s="50">
        <f>'Working Capital'!G25</f>
        <v>685758.64539433084</v>
      </c>
      <c r="H12" s="50"/>
    </row>
    <row r="13" spans="1:8" x14ac:dyDescent="0.3">
      <c r="E13" s="50"/>
      <c r="F13" s="50"/>
      <c r="G13" s="50"/>
      <c r="H13" s="50"/>
    </row>
    <row r="14" spans="1:8" s="59" customFormat="1" x14ac:dyDescent="0.3">
      <c r="A14" s="59" t="s">
        <v>146</v>
      </c>
      <c r="E14" s="61">
        <f>E9+E11+E12</f>
        <v>1061984.2737826142</v>
      </c>
      <c r="F14" s="61">
        <f t="shared" ref="F14:G14" si="0">F9+F11+F12</f>
        <v>3238106.7259465675</v>
      </c>
      <c r="G14" s="61">
        <f t="shared" si="0"/>
        <v>9090450.5244275313</v>
      </c>
      <c r="H14" s="61"/>
    </row>
    <row r="15" spans="1:8" x14ac:dyDescent="0.3">
      <c r="E15" s="50"/>
      <c r="F15" s="50"/>
      <c r="G15" s="50"/>
      <c r="H15" s="50"/>
    </row>
    <row r="16" spans="1:8" x14ac:dyDescent="0.3">
      <c r="A16" s="6" t="s">
        <v>142</v>
      </c>
      <c r="E16" s="50"/>
      <c r="F16" s="50"/>
      <c r="G16" s="50"/>
      <c r="H16" s="50"/>
    </row>
    <row r="17" spans="1:8" x14ac:dyDescent="0.3">
      <c r="A17" t="s">
        <v>147</v>
      </c>
      <c r="E17" s="50">
        <f>-'Capital Structure'!D13</f>
        <v>-19100000</v>
      </c>
      <c r="F17" s="50">
        <v>0</v>
      </c>
      <c r="G17" s="50">
        <v>0</v>
      </c>
      <c r="H17" s="50"/>
    </row>
    <row r="18" spans="1:8" x14ac:dyDescent="0.3">
      <c r="A18" t="s">
        <v>116</v>
      </c>
      <c r="E18" s="50">
        <f>-'Capital Structure'!D15</f>
        <v>-1000000</v>
      </c>
      <c r="F18" s="50">
        <v>0</v>
      </c>
      <c r="G18" s="50">
        <v>0</v>
      </c>
      <c r="H18" s="50"/>
    </row>
    <row r="19" spans="1:8" x14ac:dyDescent="0.3">
      <c r="E19" s="50"/>
      <c r="F19" s="50"/>
      <c r="G19" s="50"/>
      <c r="H19" s="50"/>
    </row>
    <row r="20" spans="1:8" s="59" customFormat="1" x14ac:dyDescent="0.3">
      <c r="A20" s="59" t="s">
        <v>148</v>
      </c>
      <c r="E20" s="61">
        <f>E17+E18</f>
        <v>-20100000</v>
      </c>
      <c r="F20" s="61">
        <f t="shared" ref="F20:G20" si="1">F17+F18</f>
        <v>0</v>
      </c>
      <c r="G20" s="61">
        <f t="shared" si="1"/>
        <v>0</v>
      </c>
      <c r="H20" s="61"/>
    </row>
    <row r="21" spans="1:8" x14ac:dyDescent="0.3">
      <c r="E21" s="50"/>
      <c r="F21" s="50"/>
      <c r="G21" s="50"/>
      <c r="H21" s="50"/>
    </row>
    <row r="22" spans="1:8" x14ac:dyDescent="0.3">
      <c r="A22" s="6" t="s">
        <v>143</v>
      </c>
      <c r="E22" s="50"/>
      <c r="F22" s="50"/>
      <c r="G22" s="50"/>
      <c r="H22" s="50"/>
    </row>
    <row r="23" spans="1:8" x14ac:dyDescent="0.3">
      <c r="A23" t="s">
        <v>149</v>
      </c>
      <c r="E23" s="50">
        <f>'Capital Structure'!D21</f>
        <v>22500000</v>
      </c>
      <c r="F23" s="50">
        <v>0</v>
      </c>
      <c r="G23" s="50">
        <v>0</v>
      </c>
      <c r="H23" s="50"/>
    </row>
    <row r="24" spans="1:8" x14ac:dyDescent="0.3">
      <c r="A24" t="s">
        <v>150</v>
      </c>
      <c r="E24" s="50">
        <f>'Capital Structure'!D22</f>
        <v>0</v>
      </c>
      <c r="F24" s="50">
        <v>0</v>
      </c>
      <c r="G24" s="50">
        <v>0</v>
      </c>
      <c r="H24" s="50"/>
    </row>
    <row r="25" spans="1:8" x14ac:dyDescent="0.3">
      <c r="E25" s="50"/>
      <c r="F25" s="50"/>
      <c r="G25" s="50"/>
      <c r="H25" s="50"/>
    </row>
    <row r="26" spans="1:8" s="59" customFormat="1" x14ac:dyDescent="0.3">
      <c r="A26" s="59" t="s">
        <v>151</v>
      </c>
      <c r="E26" s="61">
        <f>E23+E24</f>
        <v>22500000</v>
      </c>
      <c r="F26" s="61">
        <f t="shared" ref="F26:G26" si="2">F23+F24</f>
        <v>0</v>
      </c>
      <c r="G26" s="61">
        <f t="shared" si="2"/>
        <v>0</v>
      </c>
      <c r="H26" s="61"/>
    </row>
    <row r="27" spans="1:8" x14ac:dyDescent="0.3">
      <c r="E27" s="50"/>
      <c r="F27" s="50"/>
      <c r="G27" s="50"/>
      <c r="H27" s="50"/>
    </row>
    <row r="28" spans="1:8" s="48" customFormat="1" ht="15" thickBot="1" x14ac:dyDescent="0.35">
      <c r="A28" s="48" t="s">
        <v>152</v>
      </c>
      <c r="E28" s="54">
        <f>E14+E20+E26</f>
        <v>3461984.2737826146</v>
      </c>
      <c r="F28" s="54">
        <f t="shared" ref="F28:G28" si="3">F14+F20+F26</f>
        <v>3238106.7259465675</v>
      </c>
      <c r="G28" s="54">
        <f t="shared" si="3"/>
        <v>9090450.5244275313</v>
      </c>
      <c r="H28" s="54"/>
    </row>
    <row r="29" spans="1:8" x14ac:dyDescent="0.3">
      <c r="A29" t="s">
        <v>153</v>
      </c>
      <c r="E29" s="50">
        <v>0</v>
      </c>
      <c r="F29" s="50">
        <f>E31</f>
        <v>3461984.2737826146</v>
      </c>
      <c r="G29" s="50">
        <f>F31</f>
        <v>6700090.9997291826</v>
      </c>
      <c r="H29" s="50"/>
    </row>
    <row r="30" spans="1:8" x14ac:dyDescent="0.3">
      <c r="E30" s="50"/>
      <c r="F30" s="50"/>
      <c r="G30" s="50"/>
      <c r="H30" s="50"/>
    </row>
    <row r="31" spans="1:8" s="69" customFormat="1" ht="15" thickBot="1" x14ac:dyDescent="0.35">
      <c r="A31" s="69" t="s">
        <v>154</v>
      </c>
      <c r="E31" s="70">
        <f>E28+E29</f>
        <v>3461984.2737826146</v>
      </c>
      <c r="F31" s="70">
        <f t="shared" ref="F31:G31" si="4">F28+F29</f>
        <v>6700090.9997291826</v>
      </c>
      <c r="G31" s="70">
        <f t="shared" si="4"/>
        <v>15790541.524156714</v>
      </c>
      <c r="H31" s="70"/>
    </row>
    <row r="32" spans="1:8" ht="15" thickTop="1" x14ac:dyDescent="0.3">
      <c r="E32" s="50"/>
      <c r="F32" s="50"/>
      <c r="G32" s="50"/>
      <c r="H32" s="50"/>
    </row>
    <row r="33" spans="1:8" x14ac:dyDescent="0.3">
      <c r="E33" s="50"/>
      <c r="F33" s="50"/>
      <c r="G33" s="50"/>
      <c r="H33" s="50"/>
    </row>
    <row r="34" spans="1:8" s="71" customFormat="1" x14ac:dyDescent="0.3">
      <c r="A34" s="71" t="s">
        <v>104</v>
      </c>
      <c r="E34" s="73"/>
      <c r="F34" s="73"/>
      <c r="G34" s="73"/>
      <c r="H34" s="73"/>
    </row>
    <row r="35" spans="1:8" x14ac:dyDescent="0.3">
      <c r="E35" s="50"/>
      <c r="F35" s="50"/>
      <c r="G35" s="50"/>
      <c r="H35" s="50"/>
    </row>
    <row r="36" spans="1:8" x14ac:dyDescent="0.3">
      <c r="E36" s="50"/>
      <c r="F36" s="50"/>
      <c r="G36" s="50"/>
      <c r="H36" s="50"/>
    </row>
    <row r="37" spans="1:8" x14ac:dyDescent="0.3">
      <c r="E37" s="50"/>
      <c r="F37" s="50"/>
      <c r="G37" s="50"/>
      <c r="H37" s="50"/>
    </row>
    <row r="38" spans="1:8" x14ac:dyDescent="0.3">
      <c r="E38" s="50"/>
      <c r="F38" s="50"/>
      <c r="G38" s="50"/>
      <c r="H38" s="50"/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Monthly Revenue</vt:lpstr>
      <vt:lpstr>Monthly P&amp;L</vt:lpstr>
      <vt:lpstr>Capital Structure</vt:lpstr>
      <vt:lpstr>Fixed Assets Schedule</vt:lpstr>
      <vt:lpstr>Working Capital</vt:lpstr>
      <vt:lpstr>Annual P&amp;L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Apwoka</dc:creator>
  <cp:lastModifiedBy>Jonathan Apwoka</cp:lastModifiedBy>
  <dcterms:created xsi:type="dcterms:W3CDTF">2025-10-20T11:38:09Z</dcterms:created>
  <dcterms:modified xsi:type="dcterms:W3CDTF">2025-12-27T23:49:51Z</dcterms:modified>
</cp:coreProperties>
</file>